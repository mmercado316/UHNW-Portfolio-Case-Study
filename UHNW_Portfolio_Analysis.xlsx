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Mario/jpmproject/"/>
    </mc:Choice>
  </mc:AlternateContent>
  <xr:revisionPtr revIDLastSave="0" documentId="13_ncr:1_{52E689B2-D83F-EE4C-99D5-93D4FA59D4E6}" xr6:coauthVersionLast="47" xr6:coauthVersionMax="47" xr10:uidLastSave="{00000000-0000-0000-0000-000000000000}"/>
  <bookViews>
    <workbookView xWindow="30160" yWindow="-3000" windowWidth="33500" windowHeight="19020" xr2:uid="{00000000-000D-0000-FFFF-FFFF00000000}"/>
  </bookViews>
  <sheets>
    <sheet name="Inputs" sheetId="1" r:id="rId1"/>
    <sheet name="Overview" sheetId="2" r:id="rId2"/>
    <sheet name="Portfolio Transition" sheetId="3" r:id="rId3"/>
    <sheet name="Tax Analysis" sheetId="4" r:id="rId4"/>
    <sheet name="SBL Credit" sheetId="5" r:id="rId5"/>
    <sheet name="Goals Planning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6" l="1"/>
  <c r="D45" i="6"/>
  <c r="E44" i="6"/>
  <c r="D44" i="6"/>
  <c r="E43" i="6"/>
  <c r="D43" i="6"/>
  <c r="E42" i="6"/>
  <c r="D42" i="6"/>
  <c r="D41" i="6"/>
  <c r="E11" i="6"/>
  <c r="D11" i="6"/>
  <c r="C11" i="6"/>
  <c r="E8" i="6"/>
  <c r="D8" i="6"/>
  <c r="C8" i="6"/>
  <c r="E7" i="6"/>
  <c r="D7" i="6"/>
  <c r="C7" i="6"/>
  <c r="D54" i="5"/>
  <c r="D53" i="5"/>
  <c r="C53" i="5"/>
  <c r="D52" i="5"/>
  <c r="F44" i="5"/>
  <c r="E44" i="5"/>
  <c r="D44" i="5"/>
  <c r="F43" i="5"/>
  <c r="E43" i="5"/>
  <c r="D43" i="5"/>
  <c r="F42" i="5"/>
  <c r="E42" i="5"/>
  <c r="D42" i="5"/>
  <c r="F41" i="5"/>
  <c r="E41" i="5"/>
  <c r="D41" i="5"/>
  <c r="F40" i="5"/>
  <c r="E40" i="5"/>
  <c r="D40" i="5"/>
  <c r="F39" i="5"/>
  <c r="E39" i="5"/>
  <c r="D39" i="5"/>
  <c r="F35" i="5"/>
  <c r="C35" i="5"/>
  <c r="F34" i="5"/>
  <c r="C34" i="5"/>
  <c r="F33" i="5"/>
  <c r="C33" i="5"/>
  <c r="F32" i="5"/>
  <c r="C32" i="5"/>
  <c r="F31" i="5"/>
  <c r="C31" i="5"/>
  <c r="F30" i="5"/>
  <c r="C30" i="5"/>
  <c r="F29" i="5"/>
  <c r="C29" i="5"/>
  <c r="F28" i="5"/>
  <c r="C28" i="5"/>
  <c r="F27" i="5"/>
  <c r="C27" i="5"/>
  <c r="F26" i="5"/>
  <c r="C26" i="5"/>
  <c r="F25" i="5"/>
  <c r="C25" i="5"/>
  <c r="F24" i="5"/>
  <c r="C24" i="5"/>
  <c r="F23" i="5"/>
  <c r="C23" i="5"/>
  <c r="C12" i="5"/>
  <c r="C11" i="5"/>
  <c r="C10" i="5"/>
  <c r="C9" i="5"/>
  <c r="C8" i="5"/>
  <c r="C7" i="5"/>
  <c r="C28" i="4"/>
  <c r="C24" i="4"/>
  <c r="E23" i="4"/>
  <c r="C23" i="4"/>
  <c r="E22" i="4"/>
  <c r="D22" i="4"/>
  <c r="C22" i="4"/>
  <c r="D21" i="4"/>
  <c r="C21" i="4"/>
  <c r="D20" i="4"/>
  <c r="C20" i="4"/>
  <c r="E19" i="4"/>
  <c r="C19" i="4"/>
  <c r="C14" i="4"/>
  <c r="C11" i="4"/>
  <c r="C10" i="4"/>
  <c r="C9" i="4"/>
  <c r="C7" i="4"/>
  <c r="C6" i="4"/>
  <c r="F26" i="3"/>
  <c r="D26" i="3"/>
  <c r="C6" i="2"/>
  <c r="C51" i="1"/>
  <c r="E9" i="6" s="1"/>
  <c r="C50" i="1"/>
  <c r="D9" i="6" s="1"/>
  <c r="C49" i="1"/>
  <c r="C9" i="6" s="1"/>
  <c r="C48" i="1"/>
  <c r="C47" i="1"/>
  <c r="C46" i="1"/>
  <c r="C17" i="5" s="1"/>
  <c r="C45" i="1"/>
  <c r="C14" i="5" s="1"/>
  <c r="C44" i="1"/>
  <c r="C43" i="1"/>
  <c r="C15" i="4" s="1"/>
  <c r="C42" i="1"/>
  <c r="C13" i="4" s="1"/>
  <c r="C41" i="1"/>
  <c r="C40" i="1"/>
  <c r="C8" i="4" s="1"/>
  <c r="E21" i="4" l="1"/>
  <c r="E20" i="4"/>
  <c r="E24" i="4"/>
  <c r="E6" i="6"/>
  <c r="D6" i="6"/>
  <c r="C6" i="6"/>
  <c r="F17" i="6"/>
  <c r="F18" i="6" s="1"/>
  <c r="F19" i="6" s="1"/>
  <c r="F20" i="6" s="1"/>
  <c r="F21" i="6" s="1"/>
  <c r="F22" i="6" s="1"/>
  <c r="F23" i="6" s="1"/>
  <c r="F24" i="6" s="1"/>
  <c r="F25" i="6" s="1"/>
  <c r="F26" i="6" s="1"/>
  <c r="F27" i="6" s="1"/>
  <c r="F28" i="6" s="1"/>
  <c r="F29" i="6" s="1"/>
  <c r="F30" i="6" s="1"/>
  <c r="F31" i="6" s="1"/>
  <c r="F32" i="6" s="1"/>
  <c r="F33" i="6" s="1"/>
  <c r="F34" i="6" s="1"/>
  <c r="F35" i="6" s="1"/>
  <c r="F36" i="6" s="1"/>
  <c r="F37" i="6" s="1"/>
  <c r="E17" i="6"/>
  <c r="E18" i="6" s="1"/>
  <c r="E19" i="6" s="1"/>
  <c r="E20" i="6" s="1"/>
  <c r="E21" i="6" s="1"/>
  <c r="E22" i="6" s="1"/>
  <c r="E23" i="6" s="1"/>
  <c r="E24" i="6" s="1"/>
  <c r="E25" i="6" s="1"/>
  <c r="E26" i="6" s="1"/>
  <c r="E27" i="6" s="1"/>
  <c r="E28" i="6" s="1"/>
  <c r="E29" i="6" s="1"/>
  <c r="E30" i="6" s="1"/>
  <c r="E31" i="6" s="1"/>
  <c r="E32" i="6" s="1"/>
  <c r="E33" i="6" s="1"/>
  <c r="E34" i="6" s="1"/>
  <c r="E35" i="6" s="1"/>
  <c r="E36" i="6" s="1"/>
  <c r="E37" i="6" s="1"/>
  <c r="D17" i="6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55" i="5"/>
  <c r="D51" i="5"/>
  <c r="E13" i="6"/>
  <c r="D13" i="6"/>
  <c r="C13" i="6"/>
  <c r="C18" i="5"/>
  <c r="D33" i="5"/>
  <c r="D32" i="5"/>
  <c r="D31" i="5"/>
  <c r="D30" i="5"/>
  <c r="D29" i="5"/>
  <c r="D28" i="5"/>
  <c r="D27" i="5"/>
  <c r="D26" i="5"/>
  <c r="D25" i="5"/>
  <c r="D24" i="5"/>
  <c r="D23" i="5"/>
  <c r="D34" i="5"/>
  <c r="C13" i="5"/>
  <c r="D23" i="4"/>
  <c r="C50" i="5"/>
  <c r="C52" i="5"/>
  <c r="D19" i="4"/>
  <c r="D24" i="4" s="1"/>
  <c r="C12" i="4"/>
  <c r="D35" i="5" l="1"/>
</calcChain>
</file>

<file path=xl/sharedStrings.xml><?xml version="1.0" encoding="utf-8"?>
<sst xmlns="http://schemas.openxmlformats.org/spreadsheetml/2006/main" count="531" uniqueCount="439">
  <si>
    <t>ASSUMPTION</t>
  </si>
  <si>
    <t>UNIT</t>
  </si>
  <si>
    <t>DESCRIPTION</t>
  </si>
  <si>
    <t xml:space="preserve">  A  |  PORTFOLIO ASSUMPTIONS</t>
  </si>
  <si>
    <t>Portfolio Value</t>
  </si>
  <si>
    <t>USD</t>
  </si>
  <si>
    <t>Total market value of the concentrated tech portfolio</t>
  </si>
  <si>
    <t>Estimated Cost Basis</t>
  </si>
  <si>
    <t>Original acquisition cost of tech holdings</t>
  </si>
  <si>
    <t>Tech Equity Concentration</t>
  </si>
  <si>
    <t>%</t>
  </si>
  <si>
    <t>Percentage of portfolio in single tech sector</t>
  </si>
  <si>
    <t>Cash &amp; Equivalents Allocation</t>
  </si>
  <si>
    <t>Remaining portfolio in money market / cash</t>
  </si>
  <si>
    <t xml:space="preserve">  B  |  TAX RATE ASSUMPTIONS</t>
  </si>
  <si>
    <t>Fed Long-Term Capital Gains Rate</t>
  </si>
  <si>
    <t>Top federal rate on long-term capital gains</t>
  </si>
  <si>
    <t>Net Investment Income Tax (NIIT)</t>
  </si>
  <si>
    <t>Medicare surtax on investment income (IRC §1411)</t>
  </si>
  <si>
    <t>State Income Tax Rate (CA)</t>
  </si>
  <si>
    <t>Highest marginal California income tax rate</t>
  </si>
  <si>
    <t>Marginal Income Tax Bracket</t>
  </si>
  <si>
    <t>Used for after-tax interest and deduction calculations</t>
  </si>
  <si>
    <t>Tax-Loss Harvesting Offset</t>
  </si>
  <si>
    <t>Identified losses available to offset realized gains</t>
  </si>
  <si>
    <t xml:space="preserve">  C  |  LIQUIDATION PARAMETERS</t>
  </si>
  <si>
    <t>Number of Tranches</t>
  </si>
  <si>
    <t>#</t>
  </si>
  <si>
    <t>Total liquidation tranches spread over Months 4-8</t>
  </si>
  <si>
    <t>Tranche Amount (each)</t>
  </si>
  <si>
    <t>Amount of tech equity liquidated per tranche</t>
  </si>
  <si>
    <t xml:space="preserve">  D  |  SECURITIES-BASED LENDING PARAMETERS</t>
  </si>
  <si>
    <t>SBL Loan Amount</t>
  </si>
  <si>
    <t>Non-purpose credit line drawn to seed Private Foundation with $5M initial capital</t>
  </si>
  <si>
    <t>Collateral Pledged</t>
  </si>
  <si>
    <t>Portfolio value pledged; 40% ($10M) remains unencumbered</t>
  </si>
  <si>
    <t>SOFR Benchmark Rate</t>
  </si>
  <si>
    <t>Secured Overnight Financing Rate — update as market moves</t>
  </si>
  <si>
    <t>Credit Spread</t>
  </si>
  <si>
    <t>Institutional pricing spread above SOFR</t>
  </si>
  <si>
    <t>Margin Call LTV Trigger</t>
  </si>
  <si>
    <t>LTV level at which additional collateral is required</t>
  </si>
  <si>
    <t xml:space="preserve">  E  |  GOALS-BASED PLANNING ASSUMPTIONS</t>
  </si>
  <si>
    <t>Bear Case Gross Return</t>
  </si>
  <si>
    <t>Conservative scenario — stressed market environment</t>
  </si>
  <si>
    <t>Base Case Gross Return</t>
  </si>
  <si>
    <t>Institutional long-term capital market assumption</t>
  </si>
  <si>
    <t>Bull Case Gross Return</t>
  </si>
  <si>
    <t>Optimistic scenario — alternatives outperform</t>
  </si>
  <si>
    <t>Annual Withdrawal Rate</t>
  </si>
  <si>
    <t>Sustainable annual distribution for lifestyle &amp; philanthropy</t>
  </si>
  <si>
    <t>Planning Horizon (Years)</t>
  </si>
  <si>
    <t>Yrs</t>
  </si>
  <si>
    <t>Long-term compounding window</t>
  </si>
  <si>
    <t>Private Foundation Target</t>
  </si>
  <si>
    <t>Target philanthropic endowment value</t>
  </si>
  <si>
    <t>Foundation Annual Return</t>
  </si>
  <si>
    <t>Expected endowment investment return</t>
  </si>
  <si>
    <t>Foundation Annual Payout</t>
  </si>
  <si>
    <t>Annual grantmaking as % of foundation assets</t>
  </si>
  <si>
    <t>Foundation Annual Contribution</t>
  </si>
  <si>
    <t>Annual client contribution from portfolio income; bridges $5M seed to $10M target at Year 20</t>
  </si>
  <si>
    <t xml:space="preserve">  F  |  COMPUTED VALUES  —  Auto-calculated from above.  Do not edit.</t>
  </si>
  <si>
    <t>Unrealized Capital Gains</t>
  </si>
  <si>
    <t>Portfolio Value − Cost Basis</t>
  </si>
  <si>
    <t>Gross Effective Tax Rate</t>
  </si>
  <si>
    <t>Fed + NIIT + State</t>
  </si>
  <si>
    <t>Estimated Gross Tax Liability</t>
  </si>
  <si>
    <t>Unrealized Gains × Effective Rate</t>
  </si>
  <si>
    <t>Net Tax Liability (After Offset)</t>
  </si>
  <si>
    <t>Gross Tax − Harvesting Offset</t>
  </si>
  <si>
    <t>All-In SBL Interest Rate</t>
  </si>
  <si>
    <t>SOFR + Credit Spread</t>
  </si>
  <si>
    <t>After-Tax SBL Rate</t>
  </si>
  <si>
    <t>All-In Rate × (1 − Tax Bracket)</t>
  </si>
  <si>
    <t>Annual Gross Interest (SBL)</t>
  </si>
  <si>
    <t>Loan Amount × All-In Rate</t>
  </si>
  <si>
    <t>Annual After-Tax Interest (SBL)</t>
  </si>
  <si>
    <t>Annual Gross × (1 − Tax Bracket)</t>
  </si>
  <si>
    <t>Post-Tax Starting Portfolio</t>
  </si>
  <si>
    <t>Portfolio Value − Net Tax Liability (Gross Tax − Harvesting Offset)</t>
  </si>
  <si>
    <t>Bear Net Return (after withdrawal)</t>
  </si>
  <si>
    <t>Bear Return − Withdrawal Rate</t>
  </si>
  <si>
    <t>Base Net Return (after withdrawal)</t>
  </si>
  <si>
    <t>Base Return − Withdrawal Rate</t>
  </si>
  <si>
    <t>Bull Net Return (after withdrawal)</t>
  </si>
  <si>
    <t>Bull Return − Withdrawal Rate</t>
  </si>
  <si>
    <t>UHNW PORTFOLIO TRANSITION ANALYSIS</t>
  </si>
  <si>
    <t>$25M Tech Founder Case Study  |  Concentrated Equity to Institutional Diversification  |  February 2026</t>
  </si>
  <si>
    <t xml:space="preserve">  CLIENT PROFILE</t>
  </si>
  <si>
    <t>Client Segment</t>
  </si>
  <si>
    <t>Ultra High Net Worth (UHNW)  |  $10M+ Investable Assets</t>
  </si>
  <si>
    <t>Client Type</t>
  </si>
  <si>
    <t>Technology Founder / Entrepreneur</t>
  </si>
  <si>
    <t>Primary Challenge</t>
  </si>
  <si>
    <t>90% portfolio concentration in single tech sector; $18.5M unrealized gains</t>
  </si>
  <si>
    <t>Primary Objective</t>
  </si>
  <si>
    <t>De-risk position, generate income, fund $10M Private Foundation</t>
  </si>
  <si>
    <t xml:space="preserve">  KEY OUTCOMES: CURRENT vs. OPTIMIZED DIVERSIFIED MODEL</t>
  </si>
  <si>
    <t>Metric</t>
  </si>
  <si>
    <t>Current Portfolio</t>
  </si>
  <si>
    <t>Optimized Model</t>
  </si>
  <si>
    <t>Improvement</t>
  </si>
  <si>
    <t>Asset Classes</t>
  </si>
  <si>
    <t>2</t>
  </si>
  <si>
    <t>7</t>
  </si>
  <si>
    <t>+5 Classes</t>
  </si>
  <si>
    <t>Portfolio Beta</t>
  </si>
  <si>
    <t>1.35</t>
  </si>
  <si>
    <t>0.88</t>
  </si>
  <si>
    <t>↓ 34.8%</t>
  </si>
  <si>
    <t>Value at Risk (95%)</t>
  </si>
  <si>
    <t>$4,250,000</t>
  </si>
  <si>
    <t>$1,875,000</t>
  </si>
  <si>
    <t>↓ 55.9%</t>
  </si>
  <si>
    <t>Maximum Drawdown (Est.)</t>
  </si>
  <si>
    <t>45.0%</t>
  </si>
  <si>
    <t>22.0%</t>
  </si>
  <si>
    <t>↓ 51.1%</t>
  </si>
  <si>
    <t>Concentration Risk Score</t>
  </si>
  <si>
    <t>95 / 100</t>
  </si>
  <si>
    <t>15 / 100</t>
  </si>
  <si>
    <t>↓ 84.2%</t>
  </si>
  <si>
    <t>Sharpe Ratio</t>
  </si>
  <si>
    <t>0.38</t>
  </si>
  <si>
    <t>0.68</t>
  </si>
  <si>
    <t>↑ 78.9%</t>
  </si>
  <si>
    <t>Annual Portfolio Income</t>
  </si>
  <si>
    <t>$112,500</t>
  </si>
  <si>
    <t>$625,000</t>
  </si>
  <si>
    <t>↑ 455%</t>
  </si>
  <si>
    <t>Correlation to S&amp;P 500</t>
  </si>
  <si>
    <t>0.94</t>
  </si>
  <si>
    <t>↓ 27.7%</t>
  </si>
  <si>
    <t>Number of Holdings</t>
  </si>
  <si>
    <t>8</t>
  </si>
  <si>
    <t>145</t>
  </si>
  <si>
    <t>+1,713%</t>
  </si>
  <si>
    <t xml:space="preserve">  RECOMMENDATION SUMMARY</t>
  </si>
  <si>
    <t>Phase / Topic</t>
  </si>
  <si>
    <t>Action &amp; Rationale</t>
  </si>
  <si>
    <t>Phase 1  (Months 1-3)</t>
  </si>
  <si>
    <t>Discovery and planning: risk tolerance assessment, cost basis review, CPA consultation, investment policy statement, and transition scenario modeling.</t>
  </si>
  <si>
    <t>Phase 2  (Months 4-11)</t>
  </si>
  <si>
    <t>Systematic liquidation across 5 tranches (Months 4-8, $4.5M each; total $22.5M). Concurrent redeployment into optimized model: 55% public equity, 23% fixed income, 20% alternatives (PE + Real Estate), 2% cash. Tax liability: est. $6.86M gross / $6.01M net.</t>
  </si>
  <si>
    <t>Phase 3  (Months 12-18)</t>
  </si>
  <si>
    <t>Establish $5M SBL credit facility against diversified portfolio. Seed Private Foundation without triggering additional capital gains. Ongoing rebalancing, tax-loss harvesting ($850K target), and quarterly performance reviews.</t>
  </si>
  <si>
    <t>Tax Strategy</t>
  </si>
  <si>
    <t>$850K tax-loss harvesting offset identified. DAF and Opportunity Zone structures available to further reduce net liability.</t>
  </si>
  <si>
    <t>Goals-Based Planning</t>
  </si>
  <si>
    <t>9.8% base-case expected return projects portfolio to approximately $85M at Year 20. Foundation reaches $10.0M target at Year 20: $5M SBL seed compounding at 2.5% net plus $70,760 annual contribution from diversified portfolio income.</t>
  </si>
  <si>
    <t>PORTFOLIO TRANSITION ANALYSIS</t>
  </si>
  <si>
    <t>From Concentrated Risk to Institutional Diversification  |  $25M Portfolio  |  February 2026</t>
  </si>
  <si>
    <t xml:space="preserve">  SECTION A: ASSET ALLOCATION COMPARISON</t>
  </si>
  <si>
    <t>Asset Class / Sub-Category</t>
  </si>
  <si>
    <t>Current
Alloc %</t>
  </si>
  <si>
    <t>Current
Value ($)</t>
  </si>
  <si>
    <t>Optimized Model
Alloc %</t>
  </si>
  <si>
    <t>Optimized Model
Value ($)</t>
  </si>
  <si>
    <t>Cash &amp; Equivalents</t>
  </si>
  <si>
    <t xml:space="preserve">    Money Market</t>
  </si>
  <si>
    <t>Fixed Income</t>
  </si>
  <si>
    <t xml:space="preserve">    High Yield Bonds</t>
  </si>
  <si>
    <t xml:space="preserve">    Investment Grade Bonds</t>
  </si>
  <si>
    <t xml:space="preserve">    Municipal Bonds</t>
  </si>
  <si>
    <t>Private Equity</t>
  </si>
  <si>
    <t xml:space="preserve">    Buyout Funds</t>
  </si>
  <si>
    <t xml:space="preserve">    Venture Capital</t>
  </si>
  <si>
    <t>Public Equity</t>
  </si>
  <si>
    <t xml:space="preserve">    Emerging Markets</t>
  </si>
  <si>
    <t xml:space="preserve">    International Developed</t>
  </si>
  <si>
    <t xml:space="preserve">    US Large Cap</t>
  </si>
  <si>
    <t xml:space="preserve">    US Large Cap Tech</t>
  </si>
  <si>
    <t xml:space="preserve">    US Large Cap Tech (90% Concentration)</t>
  </si>
  <si>
    <t xml:space="preserve">    US Mid Cap</t>
  </si>
  <si>
    <t xml:space="preserve">    US Small Cap</t>
  </si>
  <si>
    <t>Real Estate</t>
  </si>
  <si>
    <t xml:space="preserve">    Core Real Estate</t>
  </si>
  <si>
    <t xml:space="preserve">    Real Estate Opportunistic</t>
  </si>
  <si>
    <t>TOTAL PORTFOLIO VALUE</t>
  </si>
  <si>
    <t xml:space="preserve">  SECTION B: RISK &amp; RETURN METRICS COMPARISON</t>
  </si>
  <si>
    <t>Category</t>
  </si>
  <si>
    <t>Change / Improvement</t>
  </si>
  <si>
    <t>Portfolio Risk</t>
  </si>
  <si>
    <t>Value at Risk 95%</t>
  </si>
  <si>
    <t>Maximum Drawdown Estimate</t>
  </si>
  <si>
    <t>95</t>
  </si>
  <si>
    <t>15</t>
  </si>
  <si>
    <t>Expected Annual Return</t>
  </si>
  <si>
    <t>Return Metrics</t>
  </si>
  <si>
    <t>11.7%</t>
  </si>
  <si>
    <t>9.8%</t>
  </si>
  <si>
    <t>↓ 16.2%</t>
  </si>
  <si>
    <t>Risk-Adjusted Return</t>
  </si>
  <si>
    <t>Downside Deviation</t>
  </si>
  <si>
    <t>22.5%</t>
  </si>
  <si>
    <t>11.2%</t>
  </si>
  <si>
    <t>↓ 50.2%</t>
  </si>
  <si>
    <t>Diversification</t>
  </si>
  <si>
    <t>↑ 1712.5%</t>
  </si>
  <si>
    <t>Asset Class Count</t>
  </si>
  <si>
    <t>↑ 250.0%</t>
  </si>
  <si>
    <t>Geographic Exposure</t>
  </si>
  <si>
    <t>1</t>
  </si>
  <si>
    <t>4</t>
  </si>
  <si>
    <t>↑ 300.0%</t>
  </si>
  <si>
    <t>Annual Income Projection</t>
  </si>
  <si>
    <t>Income Generation</t>
  </si>
  <si>
    <t>↑ 455.6%</t>
  </si>
  <si>
    <t>Dividend Yield</t>
  </si>
  <si>
    <t>0.5%</t>
  </si>
  <si>
    <t>2.5%</t>
  </si>
  <si>
    <t>↑ 400.0%</t>
  </si>
  <si>
    <t>TAX TRANSITION ANALYSIS</t>
  </si>
  <si>
    <t>Capital Gains Management &amp; Tax-Efficient Liquidation Strategy  |  February 2026</t>
  </si>
  <si>
    <t xml:space="preserve">  SECTION A: CAPITAL GAINS OVERVIEW  —  All values update from Inputs tab</t>
  </si>
  <si>
    <t>Item</t>
  </si>
  <si>
    <t>Value</t>
  </si>
  <si>
    <t>Notes</t>
  </si>
  <si>
    <t>Current Portfolio Value</t>
  </si>
  <si>
    <t>Source: Inputs tab B6  |  Edit there to update all tabs</t>
  </si>
  <si>
    <t>Source: Inputs tab B7</t>
  </si>
  <si>
    <t>Portfolio Value − Cost Basis  (Inputs C40)</t>
  </si>
  <si>
    <t>Federal Long-Term Cap Gains Rate</t>
  </si>
  <si>
    <t>Source: Inputs tab C12  |  Top federal rate on long-term gains</t>
  </si>
  <si>
    <t>Medicare surtax on investment income (IRC §1411)  — Inputs C13</t>
  </si>
  <si>
    <t>State Tax Rate (CA)</t>
  </si>
  <si>
    <t>Highest marginal CA rate  — Inputs C14</t>
  </si>
  <si>
    <t>Gross Effective Rate</t>
  </si>
  <si>
    <t>Fed + NIIT + State  (Inputs C41)</t>
  </si>
  <si>
    <t>Unrealized Gains × Effective Rate  (Inputs C42)</t>
  </si>
  <si>
    <t>Identified losses to offset gains  — Inputs C16  (displayed as reduction)</t>
  </si>
  <si>
    <t>Gross Tax − Offset  (Inputs C43)</t>
  </si>
  <si>
    <t xml:space="preserve">  SECTION B: PHASED LIQUIDATION SCHEDULE  —  5 Tranches Over 8 Months</t>
  </si>
  <si>
    <t>Tranche / Month</t>
  </si>
  <si>
    <t>Amount Liquidated</t>
  </si>
  <si>
    <t>Est. Tax Impact</t>
  </si>
  <si>
    <t>Cumulative Liquidated</t>
  </si>
  <si>
    <t>Tranche 1  (Month 4)</t>
  </si>
  <si>
    <t>Tranche 2  (Month 5)</t>
  </si>
  <si>
    <t>Tranche 3  (Month 6)</t>
  </si>
  <si>
    <t>Tranche 4  (Month 7)</t>
  </si>
  <si>
    <t>Tranche 5  (Month 8)</t>
  </si>
  <si>
    <t>TOTAL LIQUIDATED</t>
  </si>
  <si>
    <t xml:space="preserve">  SECTION C: TAX OPTIMIZATION STRATEGIES</t>
  </si>
  <si>
    <t>Strategy</t>
  </si>
  <si>
    <t>Est. Value</t>
  </si>
  <si>
    <t>Description</t>
  </si>
  <si>
    <t>Tax-Loss Harvesting</t>
  </si>
  <si>
    <t>Identify offsetting losses in fixed income and other equity positions. Reduces net taxable gain dollar-for-dollar.</t>
  </si>
  <si>
    <t>Donor-Advised Fund (DAF)</t>
  </si>
  <si>
    <t>Contribute appreciated shares directly to DAF. Avoid capital gains entirely; receive fair-market-value charitable deduction.</t>
  </si>
  <si>
    <t>Qualified Opportunity Zone (QOZ)</t>
  </si>
  <si>
    <t>Invest deferred gains into QOZ fund. Defer recognition and potentially exclude future appreciation after 10-year hold.</t>
  </si>
  <si>
    <t>Installment Liquidation Structure</t>
  </si>
  <si>
    <t>Structural</t>
  </si>
  <si>
    <t>5 monthly tranches across Months 4-8 within a single tax year. To split recognition across two tax years, time the final tranche(s) after December 31.</t>
  </si>
  <si>
    <t>Charitable Remainder Trust (CRT)</t>
  </si>
  <si>
    <t>Transfer appreciated stock into CRT. Avoid immediate gain, receive income stream, estate planning benefit.</t>
  </si>
  <si>
    <t>SECURITIES-BASED LENDING (SBL) CREDIT FACILITY</t>
  </si>
  <si>
    <t>$5M Non-Purpose Credit Facility  |  Private Foundation Funding Strategy  |  February 2026</t>
  </si>
  <si>
    <t xml:space="preserve">  SECTION A: CREDIT FACILITY STRUCTURE  —  Live formulas from Inputs tab</t>
  </si>
  <si>
    <t>Parameter</t>
  </si>
  <si>
    <t>Loan Purpose</t>
  </si>
  <si>
    <t>Non-Purpose Loan</t>
  </si>
  <si>
    <t>Proceeds may not purchase or carry securities (Reg U)</t>
  </si>
  <si>
    <t>Loan Amount</t>
  </si>
  <si>
    <t>Source: Inputs C23  |  Change there to update all SBL figures</t>
  </si>
  <si>
    <t>Collateral Portfolio Value</t>
  </si>
  <si>
    <t>Source: Inputs C24  |  60% of diversified portfolio pledged</t>
  </si>
  <si>
    <t>Loan-to-Value (LTV)</t>
  </si>
  <si>
    <t>Loan ÷ Collateral  (auto-updates if either changes)</t>
  </si>
  <si>
    <t>Margin Call Trigger</t>
  </si>
  <si>
    <t>Source: Inputs C27  |  LTV level requiring additional collateral</t>
  </si>
  <si>
    <t>Source: Inputs C25  |  Update when market SOFR changes</t>
  </si>
  <si>
    <t>Source: Inputs C26  |  Institutional UHNW pricing</t>
  </si>
  <si>
    <t>All-In Interest Rate</t>
  </si>
  <si>
    <t>SOFR + Spread  (Inputs C44)</t>
  </si>
  <si>
    <t>Effective After-Tax Rate</t>
  </si>
  <si>
    <t>All-In × (1 − Tax Bracket)  (Inputs C45)</t>
  </si>
  <si>
    <t>Payment Structure</t>
  </si>
  <si>
    <t>Interest-Only</t>
  </si>
  <si>
    <t>No mandatory principal amortization; annual rate resets</t>
  </si>
  <si>
    <t>Facility Term</t>
  </si>
  <si>
    <t>12 Months (Renewable)</t>
  </si>
  <si>
    <t>Annually renewable at bank's discretion; no prepayment penalty</t>
  </si>
  <si>
    <t>Annual Gross Interest</t>
  </si>
  <si>
    <t>Loan Amount × All-In Rate  (Inputs C46)</t>
  </si>
  <si>
    <t>Annual After-Tax Interest</t>
  </si>
  <si>
    <t>Annual Gross × (1 − Tax Bracket)  (Inputs C47)</t>
  </si>
  <si>
    <t>Use of Proceeds</t>
  </si>
  <si>
    <t>Private Foundation Seed Capital</t>
  </si>
  <si>
    <t>Fund $10M philanthropic vehicle without triggering capital gains</t>
  </si>
  <si>
    <t xml:space="preserve">  SECTION B: INTEREST-ONLY PAYMENT SCHEDULE  —  12-Month Facility</t>
  </si>
  <si>
    <t>Period</t>
  </si>
  <si>
    <t>Beginning Balance</t>
  </si>
  <si>
    <t>Monthly Interest</t>
  </si>
  <si>
    <t>Principal Payment</t>
  </si>
  <si>
    <t>Ending Balance</t>
  </si>
  <si>
    <t>Month  1</t>
  </si>
  <si>
    <t>Month  2</t>
  </si>
  <si>
    <t>Month  3</t>
  </si>
  <si>
    <t>Month  4</t>
  </si>
  <si>
    <t>Month  5</t>
  </si>
  <si>
    <t>Month  6</t>
  </si>
  <si>
    <t>Month  7</t>
  </si>
  <si>
    <t>Month  8</t>
  </si>
  <si>
    <t>Month  9</t>
  </si>
  <si>
    <t>Month 10</t>
  </si>
  <si>
    <t>Month 11</t>
  </si>
  <si>
    <t>Month 12</t>
  </si>
  <si>
    <t>TOTAL ANNUAL INTEREST</t>
  </si>
  <si>
    <t xml:space="preserve">  SECTION C: MARGIN CALL STRESS TEST</t>
  </si>
  <si>
    <t>Scenario</t>
  </si>
  <si>
    <t>Collateral Decline</t>
  </si>
  <si>
    <t>Collateral Value</t>
  </si>
  <si>
    <t>Resulting LTV</t>
  </si>
  <si>
    <t>Margin Call Triggered?</t>
  </si>
  <si>
    <t>Base Case</t>
  </si>
  <si>
    <t>0%  (Baseline)</t>
  </si>
  <si>
    <t>Moderate Decline</t>
  </si>
  <si>
    <t>-10%</t>
  </si>
  <si>
    <t>Significant Drop</t>
  </si>
  <si>
    <t>-20%</t>
  </si>
  <si>
    <t>Severe Stress</t>
  </si>
  <si>
    <t>-30%</t>
  </si>
  <si>
    <t>2008-Style Crisis</t>
  </si>
  <si>
    <t>-40%</t>
  </si>
  <si>
    <t>Extreme Tail Risk</t>
  </si>
  <si>
    <t>-50%</t>
  </si>
  <si>
    <t>Stress test applies to the pledged collateral ($15M by default — Inputs C24). Change collateral value or loan amount in Inputs tab to instantly update all LTV figures.  2008 historical S&amp;P 500 peak-to-trough: -57%.</t>
  </si>
  <si>
    <t xml:space="preserve">  SECTION D: SBL vs. OUTRIGHT LIQUIDATION — TAX ARBITRAGE ANALYSIS</t>
  </si>
  <si>
    <t>Comparison Factor</t>
  </si>
  <si>
    <t>Liquidate &amp; Pay Gains</t>
  </si>
  <si>
    <t>SBL Credit Facility</t>
  </si>
  <si>
    <t>SBL Advantage</t>
  </si>
  <si>
    <t>Immediate Tax Cost</t>
  </si>
  <si>
    <t>$0</t>
  </si>
  <si>
    <t>SBL defers this tax indefinitely</t>
  </si>
  <si>
    <t>Annual Carry Cost</t>
  </si>
  <si>
    <t>After-tax interest replaces upfront tax burden</t>
  </si>
  <si>
    <t>Capital Deployed to Foundation</t>
  </si>
  <si>
    <t>SBL delivers full loan amount; liquidation loses tax portion</t>
  </si>
  <si>
    <t>Portfolio Assets Still Compounding</t>
  </si>
  <si>
    <t>SBL preserves the full $25M base</t>
  </si>
  <si>
    <t>Est. Portfolio Return on Preserved Capital (Yr 1)</t>
  </si>
  <si>
    <t>N/A</t>
  </si>
  <si>
    <t>Base case return × preserved capital</t>
  </si>
  <si>
    <t>Net Annual Benefit of SBL (Yr 1)</t>
  </si>
  <si>
    <t>Portfolio return on preserved capital minus carry cost</t>
  </si>
  <si>
    <t>SBL Breakeven vs. Liquidation</t>
  </si>
  <si>
    <t>3.1 Years</t>
  </si>
  <si>
    <t>Complex NPV calculation — see sbl_credit_strategy.csv</t>
  </si>
  <si>
    <t>10-Year SBL Advantage</t>
  </si>
  <si>
    <t>$7,124,500</t>
  </si>
  <si>
    <t>Tax saved + compounding opportunity cost over 10 years</t>
  </si>
  <si>
    <t>GOALS-BASED WEALTH PLANNING</t>
  </si>
  <si>
    <t>$10M Private Foundation  |  20-Year Portfolio Projection  |  Bear / Base / Bull Scenarios  |  February 2026</t>
  </si>
  <si>
    <t xml:space="preserve">  SECTION A: PLANNING ASSUMPTIONS  —  All values pull from Inputs tab</t>
  </si>
  <si>
    <t>Bear Case</t>
  </si>
  <si>
    <t>Bull Case</t>
  </si>
  <si>
    <t>Starting Portfolio Value</t>
  </si>
  <si>
    <t>Net of estimated tax after harvesting offset  (Inputs C48)</t>
  </si>
  <si>
    <t>Expected Gross Annual Return</t>
  </si>
  <si>
    <t>Edit individual scenario returns in Inputs E30-E32</t>
  </si>
  <si>
    <t>Inputs E33  |  Applied uniformly across all scenarios</t>
  </si>
  <si>
    <t>Net Annual Growth Rate</t>
  </si>
  <si>
    <t>Return minus Withdrawal Rate  (Inputs C49-C51)  — drives the projection</t>
  </si>
  <si>
    <t>Investment Horizon</t>
  </si>
  <si>
    <t>20 Years</t>
  </si>
  <si>
    <t>Inputs E34</t>
  </si>
  <si>
    <t>Inputs E35  |  Philanthropic endowment goal</t>
  </si>
  <si>
    <t>Foundation Funding Method</t>
  </si>
  <si>
    <t>SBL Facility</t>
  </si>
  <si>
    <t>$5M drawn from credit line — zero liquidation, zero additional tax</t>
  </si>
  <si>
    <t>Annual SBL Interest Cost</t>
  </si>
  <si>
    <t>After-tax interest  (Inputs C47)  — updates with rate or loan changes</t>
  </si>
  <si>
    <t xml:space="preserve">  SECTION B: 20-YEAR PORTFOLIO PROJECTION  —  Each year = prior year × (1 + net rate).  Change Inputs to reprice instantly.</t>
  </si>
  <si>
    <t>Year</t>
  </si>
  <si>
    <t>Calendar Year</t>
  </si>
  <si>
    <t>Bear Case
(Net 3.0%)</t>
  </si>
  <si>
    <t>Base Case
(Net 7.8%)</t>
  </si>
  <si>
    <t>Bull Case
(Net 11.5%)</t>
  </si>
  <si>
    <t>Milestone</t>
  </si>
  <si>
    <t>Year  1</t>
  </si>
  <si>
    <t>SBL Facility Established</t>
  </si>
  <si>
    <t>Year  2</t>
  </si>
  <si>
    <t>Year  3</t>
  </si>
  <si>
    <t>Year  4</t>
  </si>
  <si>
    <t>Year  5</t>
  </si>
  <si>
    <t>5-Year Review</t>
  </si>
  <si>
    <t>Year  6</t>
  </si>
  <si>
    <t>Year  7</t>
  </si>
  <si>
    <t>Year  8</t>
  </si>
  <si>
    <t>Year  9</t>
  </si>
  <si>
    <t>Year 10</t>
  </si>
  <si>
    <t>Foundation Self-Sustaining</t>
  </si>
  <si>
    <t>Year 11</t>
  </si>
  <si>
    <t>Year 12</t>
  </si>
  <si>
    <t>Year 13</t>
  </si>
  <si>
    <t>Year 14</t>
  </si>
  <si>
    <t>Year 15</t>
  </si>
  <si>
    <t>15-Year Review</t>
  </si>
  <si>
    <t>Year 16</t>
  </si>
  <si>
    <t>Year 17</t>
  </si>
  <si>
    <t>Year 18</t>
  </si>
  <si>
    <t>Year 19</t>
  </si>
  <si>
    <t>Year 20</t>
  </si>
  <si>
    <t>▲ Planning Horizon</t>
  </si>
  <si>
    <t>20-YEAR ENDING VALUE</t>
  </si>
  <si>
    <t>End of Planning Horizon</t>
  </si>
  <si>
    <t xml:space="preserve">  SECTION C: PRIVATE FOUNDATION FUNDING ANALYSIS</t>
  </si>
  <si>
    <t>Foundation Value</t>
  </si>
  <si>
    <t>Cumulative Grants</t>
  </si>
  <si>
    <t>Endowment Status</t>
  </si>
  <si>
    <t>SBL Proceeds Deployed</t>
  </si>
  <si>
    <t>Year 1</t>
  </si>
  <si>
    <t>Foundation Seeded</t>
  </si>
  <si>
    <t>100% via SBL — zero additional liquidation. $70,760/yr contribution begins Year 1.</t>
  </si>
  <si>
    <t>Foundation — Year 5</t>
  </si>
  <si>
    <t>Year 5</t>
  </si>
  <si>
    <t>Growing</t>
  </si>
  <si>
    <t>7.5% return net of 5% grantmaking + $70,760/yr client contribution</t>
  </si>
  <si>
    <t>Foundation — Year 10</t>
  </si>
  <si>
    <t>Projected $7.2M at Year 10 — seed + annual contributions</t>
  </si>
  <si>
    <t>SBL Loan Fully Repaid</t>
  </si>
  <si>
    <t>Debt-Free</t>
  </si>
  <si>
    <t>Loan retired from portfolio income — no asset sales</t>
  </si>
  <si>
    <t>Foundation — Year 20 (Proj.)</t>
  </si>
  <si>
    <t>Target Achieved</t>
  </si>
  <si>
    <t>$10M target reached: $5M seed + $70,760/yr from portfolio income</t>
  </si>
  <si>
    <t>VALUE</t>
  </si>
  <si>
    <t>INPUTS &amp; ASSUMPTIONS</t>
  </si>
  <si>
    <t>Model assumptions drive every output. Any adjustment to inputs will update the analysis dynamically.</t>
  </si>
  <si>
    <t>UHNW Portfolio Case Study  |  Prepared: February 2026</t>
  </si>
  <si>
    <t>Navigate tabs:  Inputs  |  Portfolio Transition  |  Tax Analysis  |  SBL Credit  |  Goals Planning    Prepared by: Mario Enrique Mercado  |  February 2026</t>
  </si>
  <si>
    <t>Key formula: Tax Cost = Loan Amount × Effective Rate (both from Inputs).  Carry Cost = Annual After-Tax Interest (Inputs C47).</t>
  </si>
  <si>
    <t>Foundation value = Seed × (1 + Net Return)^Year + Annual Contribution × ((1 + Net Return)^Year − 1) / Net Return.  Net Return = Foundation Annual Return − Annual Payout (Inputs C36 &amp; C37).  Annual Contribution (Inputs C38, default $70,760) sourced from diversified portfolio income ($625K/yr).  Cumulative grants column is a simplified lower-bound: Seed × Payout × Years.</t>
  </si>
  <si>
    <t>All tax figures are estimates. Actual liability depends on cost basis, holding period, filing status, and applicable deductions.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</si>
</sst>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"/>
    <numFmt numFmtId="165" formatCode="0.0%"/>
  </numFmts>
  <fonts count="25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</font>
    <font>
      <sz val="10"/>
      <color rgb="FFC8A84B"/>
      <name val="Calibri"/>
      <family val="2"/>
    </font>
    <font>
      <b/>
      <sz val="9"/>
      <color rgb="FFFFFFFF"/>
      <name val="Calibri"/>
      <family val="2"/>
    </font>
    <font>
      <b/>
      <sz val="10"/>
      <color rgb="FF002D72"/>
      <name val="Calibri"/>
      <family val="2"/>
    </font>
    <font>
      <b/>
      <sz val="11"/>
      <color rgb="FF404040"/>
      <name val="Calibri"/>
      <family val="2"/>
    </font>
    <font>
      <sz val="10"/>
      <color rgb="FF888888"/>
      <name val="Calibri"/>
      <family val="2"/>
    </font>
    <font>
      <sz val="9"/>
      <color rgb="FF555555"/>
      <name val="Calibri"/>
      <family val="2"/>
    </font>
    <font>
      <b/>
      <sz val="10"/>
      <color rgb="FF404040"/>
      <name val="Calibri"/>
      <family val="2"/>
    </font>
    <font>
      <sz val="10"/>
      <color rgb="FF002D72"/>
      <name val="Calibri"/>
      <family val="2"/>
    </font>
    <font>
      <i/>
      <sz val="8"/>
      <color rgb="FF888888"/>
      <name val="Calibri"/>
      <family val="2"/>
    </font>
    <font>
      <sz val="10"/>
      <color rgb="FF404040"/>
      <name val="Calibri"/>
      <family val="2"/>
    </font>
    <font>
      <sz val="10"/>
      <color rgb="FFC00000"/>
      <name val="Calibri"/>
      <family val="2"/>
    </font>
    <font>
      <sz val="10"/>
      <color rgb="FF00703C"/>
      <name val="Calibri"/>
      <family val="2"/>
    </font>
    <font>
      <b/>
      <sz val="10"/>
      <color rgb="FF00703C"/>
      <name val="Calibri"/>
      <family val="2"/>
    </font>
    <font>
      <sz val="9"/>
      <color rgb="FF404040"/>
      <name val="Calibri"/>
      <family val="2"/>
    </font>
    <font>
      <sz val="9"/>
      <color rgb="FFC00000"/>
      <name val="Calibri"/>
      <family val="2"/>
    </font>
    <font>
      <sz val="9"/>
      <color rgb="FF00703C"/>
      <name val="Calibri"/>
      <family val="2"/>
    </font>
    <font>
      <b/>
      <sz val="10"/>
      <color rgb="FFFFFFFF"/>
      <name val="Calibri"/>
      <family val="2"/>
    </font>
    <font>
      <b/>
      <sz val="10"/>
      <color rgb="FFC00000"/>
      <name val="Calibri"/>
      <family val="2"/>
    </font>
    <font>
      <sz val="9"/>
      <color rgb="FF666666"/>
      <name val="Calibri"/>
      <family val="2"/>
    </font>
    <font>
      <b/>
      <sz val="9"/>
      <color rgb="FF00703C"/>
      <name val="Calibri"/>
      <family val="2"/>
    </font>
    <font>
      <sz val="9"/>
      <color rgb="FF7030A0"/>
      <name val="Calibri"/>
      <family val="2"/>
    </font>
    <font>
      <sz val="9"/>
      <color rgb="FF888888"/>
      <name val="Calibri"/>
      <family val="2"/>
    </font>
    <font>
      <b/>
      <sz val="9"/>
      <color rgb="FF7030A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002D72"/>
      </patternFill>
    </fill>
    <fill>
      <patternFill patternType="solid">
        <fgColor rgb="FF1F5C99"/>
      </patternFill>
    </fill>
    <fill>
      <patternFill patternType="solid">
        <fgColor rgb="FFE8EEF7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EEAF1"/>
      </patternFill>
    </fill>
    <fill>
      <patternFill patternType="solid">
        <fgColor rgb="FFF2F2F2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8A84B"/>
      </left>
      <right style="thin">
        <color rgb="FFC8A84B"/>
      </right>
      <top style="thin">
        <color rgb="FFC8A84B"/>
      </top>
      <bottom style="thin">
        <color rgb="FFC8A84B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164" fontId="5" fillId="6" borderId="2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9" fontId="5" fillId="6" borderId="2" xfId="0" applyNumberFormat="1" applyFont="1" applyFill="1" applyBorder="1" applyAlignment="1">
      <alignment horizontal="center" vertical="center"/>
    </xf>
    <xf numFmtId="165" fontId="5" fillId="6" borderId="2" xfId="0" applyNumberFormat="1" applyFont="1" applyFill="1" applyBorder="1" applyAlignment="1">
      <alignment horizontal="center" vertical="center"/>
    </xf>
    <xf numFmtId="1" fontId="5" fillId="6" borderId="2" xfId="0" applyNumberFormat="1" applyFont="1" applyFill="1" applyBorder="1" applyAlignment="1">
      <alignment horizontal="center" vertical="center"/>
    </xf>
    <xf numFmtId="10" fontId="5" fillId="6" borderId="2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 wrapText="1"/>
    </xf>
    <xf numFmtId="164" fontId="9" fillId="7" borderId="1" xfId="0" applyNumberFormat="1" applyFont="1" applyFill="1" applyBorder="1" applyAlignment="1">
      <alignment horizontal="center" vertical="center"/>
    </xf>
    <xf numFmtId="10" fontId="9" fillId="7" borderId="1" xfId="0" applyNumberFormat="1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0" fontId="11" fillId="5" borderId="1" xfId="0" applyFont="1" applyFill="1" applyBorder="1" applyAlignment="1">
      <alignment horizontal="left" vertical="center" wrapText="1"/>
    </xf>
    <xf numFmtId="0" fontId="8" fillId="8" borderId="1" xfId="0" applyFont="1" applyFill="1" applyBorder="1" applyAlignment="1">
      <alignment horizontal="left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14" fillId="8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165" fontId="8" fillId="4" borderId="1" xfId="0" applyNumberFormat="1" applyFont="1" applyFill="1" applyBorder="1" applyAlignment="1">
      <alignment horizontal="center" vertical="center" wrapText="1"/>
    </xf>
    <xf numFmtId="164" fontId="8" fillId="4" borderId="1" xfId="0" applyNumberFormat="1" applyFont="1" applyFill="1" applyBorder="1" applyAlignment="1">
      <alignment horizontal="right" vertical="center" wrapText="1"/>
    </xf>
    <xf numFmtId="0" fontId="15" fillId="8" borderId="1" xfId="0" applyFont="1" applyFill="1" applyBorder="1" applyAlignment="1">
      <alignment horizontal="left" vertical="center" wrapText="1"/>
    </xf>
    <xf numFmtId="165" fontId="16" fillId="8" borderId="1" xfId="0" applyNumberFormat="1" applyFont="1" applyFill="1" applyBorder="1" applyAlignment="1">
      <alignment horizontal="center" vertical="center" wrapText="1"/>
    </xf>
    <xf numFmtId="164" fontId="16" fillId="8" borderId="1" xfId="0" applyNumberFormat="1" applyFont="1" applyFill="1" applyBorder="1" applyAlignment="1">
      <alignment horizontal="right" vertical="center" wrapText="1"/>
    </xf>
    <xf numFmtId="165" fontId="17" fillId="8" borderId="1" xfId="0" applyNumberFormat="1" applyFont="1" applyFill="1" applyBorder="1" applyAlignment="1">
      <alignment horizontal="center" vertical="center" wrapText="1"/>
    </xf>
    <xf numFmtId="164" fontId="17" fillId="8" borderId="1" xfId="0" applyNumberFormat="1" applyFont="1" applyFill="1" applyBorder="1" applyAlignment="1">
      <alignment horizontal="right" vertical="center" wrapText="1"/>
    </xf>
    <xf numFmtId="165" fontId="15" fillId="8" borderId="1" xfId="0" applyNumberFormat="1" applyFont="1" applyFill="1" applyBorder="1" applyAlignment="1">
      <alignment horizontal="center" vertical="center" wrapText="1"/>
    </xf>
    <xf numFmtId="164" fontId="15" fillId="8" borderId="1" xfId="0" applyNumberFormat="1" applyFont="1" applyFill="1" applyBorder="1" applyAlignment="1">
      <alignment horizontal="right" vertical="center" wrapText="1"/>
    </xf>
    <xf numFmtId="0" fontId="15" fillId="5" borderId="1" xfId="0" applyFont="1" applyFill="1" applyBorder="1" applyAlignment="1">
      <alignment horizontal="left" vertical="center" wrapText="1"/>
    </xf>
    <xf numFmtId="165" fontId="15" fillId="5" borderId="1" xfId="0" applyNumberFormat="1" applyFont="1" applyFill="1" applyBorder="1" applyAlignment="1">
      <alignment horizontal="center" vertical="center" wrapText="1"/>
    </xf>
    <xf numFmtId="164" fontId="15" fillId="5" borderId="1" xfId="0" applyNumberFormat="1" applyFont="1" applyFill="1" applyBorder="1" applyAlignment="1">
      <alignment horizontal="right" vertical="center" wrapText="1"/>
    </xf>
    <xf numFmtId="165" fontId="17" fillId="5" borderId="1" xfId="0" applyNumberFormat="1" applyFont="1" applyFill="1" applyBorder="1" applyAlignment="1">
      <alignment horizontal="center" vertical="center" wrapText="1"/>
    </xf>
    <xf numFmtId="164" fontId="17" fillId="5" borderId="1" xfId="0" applyNumberFormat="1" applyFont="1" applyFill="1" applyBorder="1" applyAlignment="1">
      <alignment horizontal="right" vertical="center" wrapText="1"/>
    </xf>
    <xf numFmtId="165" fontId="16" fillId="5" borderId="1" xfId="0" applyNumberFormat="1" applyFont="1" applyFill="1" applyBorder="1" applyAlignment="1">
      <alignment horizontal="center" vertical="center" wrapText="1"/>
    </xf>
    <xf numFmtId="164" fontId="16" fillId="5" borderId="1" xfId="0" applyNumberFormat="1" applyFont="1" applyFill="1" applyBorder="1" applyAlignment="1">
      <alignment horizontal="right" vertical="center" wrapText="1"/>
    </xf>
    <xf numFmtId="0" fontId="18" fillId="2" borderId="1" xfId="0" applyFont="1" applyFill="1" applyBorder="1" applyAlignment="1">
      <alignment horizontal="center" vertical="center"/>
    </xf>
    <xf numFmtId="165" fontId="18" fillId="2" borderId="1" xfId="0" applyNumberFormat="1" applyFont="1" applyFill="1" applyBorder="1" applyAlignment="1">
      <alignment horizontal="center" vertical="center"/>
    </xf>
    <xf numFmtId="164" fontId="18" fillId="2" borderId="1" xfId="0" applyNumberFormat="1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9" fillId="8" borderId="1" xfId="0" applyFont="1" applyFill="1" applyBorder="1" applyAlignment="1">
      <alignment horizontal="center" vertical="center" wrapText="1"/>
    </xf>
    <xf numFmtId="164" fontId="11" fillId="7" borderId="1" xfId="0" applyNumberFormat="1" applyFont="1" applyFill="1" applyBorder="1" applyAlignment="1">
      <alignment horizontal="right" vertical="center"/>
    </xf>
    <xf numFmtId="0" fontId="20" fillId="8" borderId="1" xfId="0" applyFont="1" applyFill="1" applyBorder="1" applyAlignment="1">
      <alignment horizontal="left" vertical="center" wrapText="1"/>
    </xf>
    <xf numFmtId="0" fontId="20" fillId="5" borderId="1" xfId="0" applyFont="1" applyFill="1" applyBorder="1" applyAlignment="1">
      <alignment horizontal="left" vertical="center" wrapText="1"/>
    </xf>
    <xf numFmtId="164" fontId="19" fillId="7" borderId="1" xfId="0" applyNumberFormat="1" applyFont="1" applyFill="1" applyBorder="1" applyAlignment="1">
      <alignment horizontal="right" vertical="center"/>
    </xf>
    <xf numFmtId="165" fontId="11" fillId="7" borderId="1" xfId="0" applyNumberFormat="1" applyFont="1" applyFill="1" applyBorder="1" applyAlignment="1">
      <alignment horizontal="right" vertical="center"/>
    </xf>
    <xf numFmtId="165" fontId="8" fillId="7" borderId="1" xfId="0" applyNumberFormat="1" applyFont="1" applyFill="1" applyBorder="1" applyAlignment="1">
      <alignment horizontal="right" vertical="center"/>
    </xf>
    <xf numFmtId="164" fontId="13" fillId="7" borderId="1" xfId="0" applyNumberFormat="1" applyFont="1" applyFill="1" applyBorder="1" applyAlignment="1">
      <alignment horizontal="right" vertical="center"/>
    </xf>
    <xf numFmtId="164" fontId="12" fillId="7" borderId="1" xfId="0" applyNumberFormat="1" applyFont="1" applyFill="1" applyBorder="1" applyAlignment="1">
      <alignment horizontal="right" vertical="center"/>
    </xf>
    <xf numFmtId="164" fontId="14" fillId="7" borderId="1" xfId="0" applyNumberFormat="1" applyFont="1" applyFill="1" applyBorder="1" applyAlignment="1">
      <alignment horizontal="right" vertical="center"/>
    </xf>
    <xf numFmtId="164" fontId="13" fillId="5" borderId="1" xfId="0" applyNumberFormat="1" applyFont="1" applyFill="1" applyBorder="1" applyAlignment="1">
      <alignment horizontal="right" vertical="center" wrapText="1"/>
    </xf>
    <xf numFmtId="164" fontId="13" fillId="8" borderId="1" xfId="0" applyNumberFormat="1" applyFont="1" applyFill="1" applyBorder="1" applyAlignment="1">
      <alignment horizontal="right" vertical="center" wrapText="1"/>
    </xf>
    <xf numFmtId="0" fontId="11" fillId="5" borderId="1" xfId="0" applyFont="1" applyFill="1" applyBorder="1" applyAlignment="1">
      <alignment horizontal="right" vertical="center" wrapText="1"/>
    </xf>
    <xf numFmtId="0" fontId="11" fillId="8" borderId="1" xfId="0" applyFont="1" applyFill="1" applyBorder="1" applyAlignment="1">
      <alignment horizontal="right" vertical="center" wrapText="1"/>
    </xf>
    <xf numFmtId="0" fontId="11" fillId="8" borderId="1" xfId="0" applyFont="1" applyFill="1" applyBorder="1" applyAlignment="1">
      <alignment horizontal="center" vertical="center" wrapText="1"/>
    </xf>
    <xf numFmtId="164" fontId="14" fillId="7" borderId="1" xfId="0" applyNumberFormat="1" applyFont="1" applyFill="1" applyBorder="1" applyAlignment="1">
      <alignment horizontal="center" vertical="center"/>
    </xf>
    <xf numFmtId="164" fontId="11" fillId="7" borderId="1" xfId="0" applyNumberFormat="1" applyFont="1" applyFill="1" applyBorder="1" applyAlignment="1">
      <alignment horizontal="center" vertical="center"/>
    </xf>
    <xf numFmtId="165" fontId="11" fillId="7" borderId="1" xfId="0" applyNumberFormat="1" applyFont="1" applyFill="1" applyBorder="1" applyAlignment="1">
      <alignment horizontal="center" vertical="center"/>
    </xf>
    <xf numFmtId="9" fontId="14" fillId="7" borderId="1" xfId="0" applyNumberFormat="1" applyFont="1" applyFill="1" applyBorder="1" applyAlignment="1">
      <alignment horizontal="center" vertical="center"/>
    </xf>
    <xf numFmtId="10" fontId="11" fillId="7" borderId="1" xfId="0" applyNumberFormat="1" applyFont="1" applyFill="1" applyBorder="1" applyAlignment="1">
      <alignment horizontal="center" vertical="center"/>
    </xf>
    <xf numFmtId="10" fontId="14" fillId="7" borderId="1" xfId="0" applyNumberFormat="1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 wrapText="1"/>
    </xf>
    <xf numFmtId="164" fontId="11" fillId="5" borderId="1" xfId="0" applyNumberFormat="1" applyFont="1" applyFill="1" applyBorder="1" applyAlignment="1">
      <alignment horizontal="center" vertical="center" wrapText="1"/>
    </xf>
    <xf numFmtId="164" fontId="11" fillId="8" borderId="1" xfId="0" applyNumberFormat="1" applyFont="1" applyFill="1" applyBorder="1" applyAlignment="1">
      <alignment horizontal="center" vertical="center" wrapText="1"/>
    </xf>
    <xf numFmtId="164" fontId="8" fillId="7" borderId="1" xfId="0" applyNumberFormat="1" applyFont="1" applyFill="1" applyBorder="1" applyAlignment="1">
      <alignment horizontal="right" vertical="center"/>
    </xf>
    <xf numFmtId="164" fontId="8" fillId="8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/>
    </xf>
    <xf numFmtId="164" fontId="12" fillId="7" borderId="1" xfId="0" applyNumberFormat="1" applyFont="1" applyFill="1" applyBorder="1" applyAlignment="1">
      <alignment horizontal="center" vertical="center"/>
    </xf>
    <xf numFmtId="164" fontId="13" fillId="7" borderId="1" xfId="0" applyNumberFormat="1" applyFont="1" applyFill="1" applyBorder="1" applyAlignment="1">
      <alignment horizontal="center" vertical="center"/>
    </xf>
    <xf numFmtId="164" fontId="4" fillId="7" borderId="1" xfId="0" applyNumberFormat="1" applyFont="1" applyFill="1" applyBorder="1" applyAlignment="1">
      <alignment horizontal="center" vertical="center"/>
    </xf>
    <xf numFmtId="165" fontId="12" fillId="7" borderId="1" xfId="0" applyNumberFormat="1" applyFont="1" applyFill="1" applyBorder="1" applyAlignment="1">
      <alignment horizontal="center" vertical="center"/>
    </xf>
    <xf numFmtId="165" fontId="4" fillId="7" borderId="1" xfId="0" applyNumberFormat="1" applyFont="1" applyFill="1" applyBorder="1" applyAlignment="1">
      <alignment horizontal="center" vertical="center"/>
    </xf>
    <xf numFmtId="165" fontId="13" fillId="7" borderId="1" xfId="0" applyNumberFormat="1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 wrapText="1"/>
    </xf>
    <xf numFmtId="0" fontId="22" fillId="5" borderId="1" xfId="0" applyFont="1" applyFill="1" applyBorder="1" applyAlignment="1">
      <alignment horizontal="left" vertical="center" wrapText="1"/>
    </xf>
    <xf numFmtId="0" fontId="23" fillId="8" borderId="1" xfId="0" applyFont="1" applyFill="1" applyBorder="1" applyAlignment="1">
      <alignment horizontal="left" vertical="center" wrapText="1"/>
    </xf>
    <xf numFmtId="0" fontId="23" fillId="5" borderId="1" xfId="0" applyFont="1" applyFill="1" applyBorder="1" applyAlignment="1">
      <alignment horizontal="left" vertical="center" wrapText="1"/>
    </xf>
    <xf numFmtId="0" fontId="8" fillId="5" borderId="1" xfId="0" applyFont="1" applyFill="1" applyBorder="1" applyAlignment="1">
      <alignment horizontal="center" vertical="center" wrapText="1"/>
    </xf>
    <xf numFmtId="164" fontId="4" fillId="7" borderId="1" xfId="0" applyNumberFormat="1" applyFont="1" applyFill="1" applyBorder="1" applyAlignment="1">
      <alignment horizontal="right" vertical="center"/>
    </xf>
    <xf numFmtId="0" fontId="24" fillId="5" borderId="1" xfId="0" applyFont="1" applyFill="1" applyBorder="1" applyAlignment="1">
      <alignment horizontal="left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24" fillId="8" borderId="1" xfId="0" applyFont="1" applyFill="1" applyBorder="1" applyAlignment="1">
      <alignment horizontal="left" vertical="center" wrapText="1"/>
    </xf>
    <xf numFmtId="1" fontId="18" fillId="2" borderId="1" xfId="0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164" fontId="11" fillId="8" borderId="1" xfId="0" applyNumberFormat="1" applyFont="1" applyFill="1" applyBorder="1" applyAlignment="1">
      <alignment horizontal="right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0" fillId="0" borderId="0" xfId="0"/>
    <xf numFmtId="0" fontId="4" fillId="4" borderId="0" xfId="0" applyFont="1" applyFill="1" applyAlignment="1">
      <alignment horizontal="left" vertical="center"/>
    </xf>
    <xf numFmtId="0" fontId="10" fillId="0" borderId="0" xfId="0" applyFont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11" fillId="5" borderId="1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4" fontId="11" fillId="5" borderId="1" xfId="0" applyNumberFormat="1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4" xfId="0" applyBorder="1"/>
    <xf numFmtId="0" fontId="15" fillId="5" borderId="1" xfId="0" applyFont="1" applyFill="1" applyBorder="1" applyAlignment="1">
      <alignment horizontal="left" vertical="center" wrapText="1"/>
    </xf>
    <xf numFmtId="0" fontId="20" fillId="8" borderId="1" xfId="0" applyFont="1" applyFill="1" applyBorder="1" applyAlignment="1">
      <alignment horizontal="left" vertical="center" wrapText="1"/>
    </xf>
    <xf numFmtId="0" fontId="15" fillId="8" borderId="1" xfId="0" applyFont="1" applyFill="1" applyBorder="1" applyAlignment="1">
      <alignment horizontal="left" vertical="center" wrapText="1"/>
    </xf>
    <xf numFmtId="0" fontId="20" fillId="5" borderId="1" xfId="0" applyFont="1" applyFill="1" applyBorder="1" applyAlignment="1">
      <alignment horizontal="left" vertical="center" wrapText="1"/>
    </xf>
    <xf numFmtId="0" fontId="21" fillId="5" borderId="1" xfId="0" applyFont="1" applyFill="1" applyBorder="1" applyAlignment="1">
      <alignment horizontal="left" vertical="center" wrapText="1"/>
    </xf>
    <xf numFmtId="0" fontId="21" fillId="8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8A84B"/>
  </sheetPr>
  <dimension ref="A1:F53"/>
  <sheetViews>
    <sheetView showGridLines="0" tabSelected="1" workbookViewId="0">
      <selection activeCell="J12" sqref="J12"/>
    </sheetView>
  </sheetViews>
  <sheetFormatPr baseColWidth="10" defaultColWidth="8.83203125" defaultRowHeight="15" x14ac:dyDescent="0.2"/>
  <cols>
    <col min="1" max="1" width="3" customWidth="1"/>
    <col min="2" max="2" width="36" customWidth="1"/>
    <col min="3" max="3" width="22" customWidth="1"/>
    <col min="4" max="4" width="14" customWidth="1"/>
    <col min="5" max="5" width="42" customWidth="1"/>
    <col min="6" max="6" width="3" customWidth="1"/>
  </cols>
  <sheetData>
    <row r="1" spans="1:6" ht="30" customHeight="1" x14ac:dyDescent="0.2">
      <c r="A1" s="101" t="s">
        <v>432</v>
      </c>
      <c r="B1" s="98"/>
      <c r="C1" s="98"/>
      <c r="D1" s="98"/>
      <c r="E1" s="98"/>
      <c r="F1" s="98"/>
    </row>
    <row r="2" spans="1:6" ht="22" customHeight="1" x14ac:dyDescent="0.2">
      <c r="A2" s="97" t="s">
        <v>433</v>
      </c>
      <c r="B2" s="98"/>
      <c r="C2" s="98"/>
      <c r="D2" s="98"/>
      <c r="E2" s="98"/>
      <c r="F2" s="98"/>
    </row>
    <row r="3" spans="1:6" ht="8" customHeight="1" x14ac:dyDescent="0.2"/>
    <row r="4" spans="1:6" ht="18" customHeight="1" x14ac:dyDescent="0.2">
      <c r="B4" s="1" t="s">
        <v>0</v>
      </c>
      <c r="C4" s="1" t="s">
        <v>431</v>
      </c>
      <c r="D4" s="1" t="s">
        <v>1</v>
      </c>
      <c r="E4" s="1" t="s">
        <v>2</v>
      </c>
    </row>
    <row r="5" spans="1:6" ht="18" customHeight="1" x14ac:dyDescent="0.2">
      <c r="B5" s="99" t="s">
        <v>3</v>
      </c>
      <c r="C5" s="98"/>
      <c r="D5" s="98"/>
      <c r="E5" s="98"/>
    </row>
    <row r="6" spans="1:6" ht="16" customHeight="1" x14ac:dyDescent="0.2">
      <c r="B6" s="2" t="s">
        <v>4</v>
      </c>
      <c r="C6" s="3">
        <v>25000000</v>
      </c>
      <c r="D6" s="4" t="s">
        <v>5</v>
      </c>
      <c r="E6" s="5" t="s">
        <v>6</v>
      </c>
    </row>
    <row r="7" spans="1:6" ht="16" customHeight="1" x14ac:dyDescent="0.2">
      <c r="B7" s="2" t="s">
        <v>7</v>
      </c>
      <c r="C7" s="3">
        <v>6500000</v>
      </c>
      <c r="D7" s="4" t="s">
        <v>5</v>
      </c>
      <c r="E7" s="5" t="s">
        <v>8</v>
      </c>
    </row>
    <row r="8" spans="1:6" ht="16" customHeight="1" x14ac:dyDescent="0.2">
      <c r="B8" s="2" t="s">
        <v>9</v>
      </c>
      <c r="C8" s="6">
        <v>0.9</v>
      </c>
      <c r="D8" s="4" t="s">
        <v>10</v>
      </c>
      <c r="E8" s="5" t="s">
        <v>11</v>
      </c>
    </row>
    <row r="9" spans="1:6" ht="16" customHeight="1" x14ac:dyDescent="0.2">
      <c r="B9" s="2" t="s">
        <v>12</v>
      </c>
      <c r="C9" s="6">
        <v>0.1</v>
      </c>
      <c r="D9" s="4" t="s">
        <v>10</v>
      </c>
      <c r="E9" s="5" t="s">
        <v>13</v>
      </c>
    </row>
    <row r="10" spans="1:6" ht="8" customHeight="1" x14ac:dyDescent="0.2"/>
    <row r="11" spans="1:6" ht="18" customHeight="1" x14ac:dyDescent="0.2">
      <c r="B11" s="99" t="s">
        <v>14</v>
      </c>
      <c r="C11" s="98"/>
      <c r="D11" s="98"/>
      <c r="E11" s="98"/>
    </row>
    <row r="12" spans="1:6" ht="16" customHeight="1" x14ac:dyDescent="0.2">
      <c r="B12" s="2" t="s">
        <v>15</v>
      </c>
      <c r="C12" s="7">
        <v>0.2</v>
      </c>
      <c r="D12" s="4" t="s">
        <v>10</v>
      </c>
      <c r="E12" s="5" t="s">
        <v>16</v>
      </c>
    </row>
    <row r="13" spans="1:6" ht="16" customHeight="1" x14ac:dyDescent="0.2">
      <c r="B13" s="2" t="s">
        <v>17</v>
      </c>
      <c r="C13" s="7">
        <v>3.7999999999999999E-2</v>
      </c>
      <c r="D13" s="4" t="s">
        <v>10</v>
      </c>
      <c r="E13" s="5" t="s">
        <v>18</v>
      </c>
    </row>
    <row r="14" spans="1:6" ht="16" customHeight="1" x14ac:dyDescent="0.2">
      <c r="B14" s="2" t="s">
        <v>19</v>
      </c>
      <c r="C14" s="7">
        <v>0.13300000000000001</v>
      </c>
      <c r="D14" s="4" t="s">
        <v>10</v>
      </c>
      <c r="E14" s="5" t="s">
        <v>20</v>
      </c>
    </row>
    <row r="15" spans="1:6" ht="16" customHeight="1" x14ac:dyDescent="0.2">
      <c r="B15" s="2" t="s">
        <v>21</v>
      </c>
      <c r="C15" s="7">
        <v>0.37</v>
      </c>
      <c r="D15" s="4" t="s">
        <v>10</v>
      </c>
      <c r="E15" s="5" t="s">
        <v>22</v>
      </c>
    </row>
    <row r="16" spans="1:6" ht="16" customHeight="1" x14ac:dyDescent="0.2">
      <c r="B16" s="2" t="s">
        <v>23</v>
      </c>
      <c r="C16" s="3">
        <v>850000</v>
      </c>
      <c r="D16" s="4" t="s">
        <v>5</v>
      </c>
      <c r="E16" s="5" t="s">
        <v>24</v>
      </c>
    </row>
    <row r="17" spans="2:5" ht="8" customHeight="1" x14ac:dyDescent="0.2"/>
    <row r="18" spans="2:5" ht="18" customHeight="1" x14ac:dyDescent="0.2">
      <c r="B18" s="99" t="s">
        <v>25</v>
      </c>
      <c r="C18" s="98"/>
      <c r="D18" s="98"/>
      <c r="E18" s="98"/>
    </row>
    <row r="19" spans="2:5" ht="16" customHeight="1" x14ac:dyDescent="0.2">
      <c r="B19" s="2" t="s">
        <v>26</v>
      </c>
      <c r="C19" s="8">
        <v>5</v>
      </c>
      <c r="D19" s="4" t="s">
        <v>27</v>
      </c>
      <c r="E19" s="5" t="s">
        <v>28</v>
      </c>
    </row>
    <row r="20" spans="2:5" ht="16" customHeight="1" x14ac:dyDescent="0.2">
      <c r="B20" s="2" t="s">
        <v>29</v>
      </c>
      <c r="C20" s="3">
        <v>4500000</v>
      </c>
      <c r="D20" s="4" t="s">
        <v>5</v>
      </c>
      <c r="E20" s="5" t="s">
        <v>30</v>
      </c>
    </row>
    <row r="21" spans="2:5" ht="8" customHeight="1" x14ac:dyDescent="0.2"/>
    <row r="22" spans="2:5" ht="18" customHeight="1" x14ac:dyDescent="0.2">
      <c r="B22" s="99" t="s">
        <v>31</v>
      </c>
      <c r="C22" s="98"/>
      <c r="D22" s="98"/>
      <c r="E22" s="98"/>
    </row>
    <row r="23" spans="2:5" ht="27" customHeight="1" x14ac:dyDescent="0.2">
      <c r="B23" s="2" t="s">
        <v>32</v>
      </c>
      <c r="C23" s="3">
        <v>5000000</v>
      </c>
      <c r="D23" s="4" t="s">
        <v>5</v>
      </c>
      <c r="E23" s="5" t="s">
        <v>33</v>
      </c>
    </row>
    <row r="24" spans="2:5" ht="16" customHeight="1" x14ac:dyDescent="0.2">
      <c r="B24" s="2" t="s">
        <v>34</v>
      </c>
      <c r="C24" s="3">
        <v>15000000</v>
      </c>
      <c r="D24" s="4" t="s">
        <v>5</v>
      </c>
      <c r="E24" s="5" t="s">
        <v>35</v>
      </c>
    </row>
    <row r="25" spans="2:5" ht="16" customHeight="1" x14ac:dyDescent="0.2">
      <c r="B25" s="2" t="s">
        <v>36</v>
      </c>
      <c r="C25" s="9">
        <v>4.4999999999999998E-2</v>
      </c>
      <c r="D25" s="4" t="s">
        <v>10</v>
      </c>
      <c r="E25" s="5" t="s">
        <v>37</v>
      </c>
    </row>
    <row r="26" spans="2:5" ht="16" customHeight="1" x14ac:dyDescent="0.2">
      <c r="B26" s="2" t="s">
        <v>38</v>
      </c>
      <c r="C26" s="9">
        <v>0.02</v>
      </c>
      <c r="D26" s="4" t="s">
        <v>10</v>
      </c>
      <c r="E26" s="5" t="s">
        <v>39</v>
      </c>
    </row>
    <row r="27" spans="2:5" ht="16" customHeight="1" x14ac:dyDescent="0.2">
      <c r="B27" s="2" t="s">
        <v>40</v>
      </c>
      <c r="C27" s="6">
        <v>0.4</v>
      </c>
      <c r="D27" s="4" t="s">
        <v>10</v>
      </c>
      <c r="E27" s="5" t="s">
        <v>41</v>
      </c>
    </row>
    <row r="28" spans="2:5" ht="8" customHeight="1" x14ac:dyDescent="0.2"/>
    <row r="29" spans="2:5" ht="18" customHeight="1" x14ac:dyDescent="0.2">
      <c r="B29" s="99" t="s">
        <v>42</v>
      </c>
      <c r="C29" s="98"/>
      <c r="D29" s="98"/>
      <c r="E29" s="98"/>
    </row>
    <row r="30" spans="2:5" ht="16" customHeight="1" x14ac:dyDescent="0.2">
      <c r="B30" s="2" t="s">
        <v>43</v>
      </c>
      <c r="C30" s="7">
        <v>0.05</v>
      </c>
      <c r="D30" s="4" t="s">
        <v>10</v>
      </c>
      <c r="E30" s="5" t="s">
        <v>44</v>
      </c>
    </row>
    <row r="31" spans="2:5" ht="16" customHeight="1" x14ac:dyDescent="0.2">
      <c r="B31" s="2" t="s">
        <v>45</v>
      </c>
      <c r="C31" s="7">
        <v>9.8000000000000004E-2</v>
      </c>
      <c r="D31" s="4" t="s">
        <v>10</v>
      </c>
      <c r="E31" s="5" t="s">
        <v>46</v>
      </c>
    </row>
    <row r="32" spans="2:5" ht="16" customHeight="1" x14ac:dyDescent="0.2">
      <c r="B32" s="2" t="s">
        <v>47</v>
      </c>
      <c r="C32" s="7">
        <v>0.13500000000000001</v>
      </c>
      <c r="D32" s="4" t="s">
        <v>10</v>
      </c>
      <c r="E32" s="5" t="s">
        <v>48</v>
      </c>
    </row>
    <row r="33" spans="2:5" ht="16" customHeight="1" x14ac:dyDescent="0.2">
      <c r="B33" s="2" t="s">
        <v>49</v>
      </c>
      <c r="C33" s="7">
        <v>0.02</v>
      </c>
      <c r="D33" s="4" t="s">
        <v>10</v>
      </c>
      <c r="E33" s="5" t="s">
        <v>50</v>
      </c>
    </row>
    <row r="34" spans="2:5" ht="16" customHeight="1" x14ac:dyDescent="0.2">
      <c r="B34" s="2" t="s">
        <v>51</v>
      </c>
      <c r="C34" s="8">
        <v>20</v>
      </c>
      <c r="D34" s="4" t="s">
        <v>52</v>
      </c>
      <c r="E34" s="5" t="s">
        <v>53</v>
      </c>
    </row>
    <row r="35" spans="2:5" ht="16" customHeight="1" x14ac:dyDescent="0.2">
      <c r="B35" s="2" t="s">
        <v>54</v>
      </c>
      <c r="C35" s="3">
        <v>10000000</v>
      </c>
      <c r="D35" s="4" t="s">
        <v>5</v>
      </c>
      <c r="E35" s="5" t="s">
        <v>55</v>
      </c>
    </row>
    <row r="36" spans="2:5" ht="16" customHeight="1" x14ac:dyDescent="0.2">
      <c r="B36" s="2" t="s">
        <v>56</v>
      </c>
      <c r="C36" s="7">
        <v>7.4999999999999997E-2</v>
      </c>
      <c r="D36" s="4" t="s">
        <v>10</v>
      </c>
      <c r="E36" s="5" t="s">
        <v>57</v>
      </c>
    </row>
    <row r="37" spans="2:5" ht="16" customHeight="1" x14ac:dyDescent="0.2">
      <c r="B37" s="2" t="s">
        <v>58</v>
      </c>
      <c r="C37" s="7">
        <v>0.05</v>
      </c>
      <c r="D37" s="4" t="s">
        <v>10</v>
      </c>
      <c r="E37" s="5" t="s">
        <v>59</v>
      </c>
    </row>
    <row r="38" spans="2:5" ht="28" customHeight="1" x14ac:dyDescent="0.2">
      <c r="B38" s="2" t="s">
        <v>60</v>
      </c>
      <c r="C38" s="3">
        <v>70760</v>
      </c>
      <c r="D38" s="4" t="s">
        <v>5</v>
      </c>
      <c r="E38" s="5" t="s">
        <v>61</v>
      </c>
    </row>
    <row r="39" spans="2:5" ht="18" customHeight="1" x14ac:dyDescent="0.2">
      <c r="B39" s="99" t="s">
        <v>62</v>
      </c>
      <c r="C39" s="98"/>
      <c r="D39" s="98"/>
      <c r="E39" s="98"/>
    </row>
    <row r="40" spans="2:5" ht="15" customHeight="1" x14ac:dyDescent="0.2">
      <c r="B40" s="10" t="s">
        <v>63</v>
      </c>
      <c r="C40" s="11">
        <f>C6-C7</f>
        <v>18500000</v>
      </c>
      <c r="E40" s="5" t="s">
        <v>64</v>
      </c>
    </row>
    <row r="41" spans="2:5" ht="15" customHeight="1" x14ac:dyDescent="0.2">
      <c r="B41" s="10" t="s">
        <v>65</v>
      </c>
      <c r="C41" s="12">
        <f>C12+C13+C14</f>
        <v>0.371</v>
      </c>
      <c r="E41" s="5" t="s">
        <v>66</v>
      </c>
    </row>
    <row r="42" spans="2:5" ht="15" customHeight="1" x14ac:dyDescent="0.2">
      <c r="B42" s="10" t="s">
        <v>67</v>
      </c>
      <c r="C42" s="11">
        <f>(C6-C7)*(C12+C13+C14)</f>
        <v>6863500</v>
      </c>
      <c r="E42" s="5" t="s">
        <v>68</v>
      </c>
    </row>
    <row r="43" spans="2:5" ht="15" customHeight="1" x14ac:dyDescent="0.2">
      <c r="B43" s="10" t="s">
        <v>69</v>
      </c>
      <c r="C43" s="11">
        <f>(C6-C7)*(C12+C13+C14)-C16</f>
        <v>6013500</v>
      </c>
      <c r="E43" s="5" t="s">
        <v>70</v>
      </c>
    </row>
    <row r="44" spans="2:5" ht="15" customHeight="1" x14ac:dyDescent="0.2">
      <c r="B44" s="10" t="s">
        <v>71</v>
      </c>
      <c r="C44" s="12">
        <f>C25+C26</f>
        <v>6.5000000000000002E-2</v>
      </c>
      <c r="E44" s="5" t="s">
        <v>72</v>
      </c>
    </row>
    <row r="45" spans="2:5" ht="15" customHeight="1" x14ac:dyDescent="0.2">
      <c r="B45" s="10" t="s">
        <v>73</v>
      </c>
      <c r="C45" s="12">
        <f>(C25+C26)*(1-C15)</f>
        <v>4.095E-2</v>
      </c>
      <c r="E45" s="5" t="s">
        <v>74</v>
      </c>
    </row>
    <row r="46" spans="2:5" ht="15" customHeight="1" x14ac:dyDescent="0.2">
      <c r="B46" s="10" t="s">
        <v>75</v>
      </c>
      <c r="C46" s="11">
        <f>C23*(C25+C26)</f>
        <v>325000</v>
      </c>
      <c r="E46" s="5" t="s">
        <v>76</v>
      </c>
    </row>
    <row r="47" spans="2:5" ht="15" customHeight="1" x14ac:dyDescent="0.2">
      <c r="B47" s="10" t="s">
        <v>77</v>
      </c>
      <c r="C47" s="11">
        <f>C23*(C25+C26)*(1-C15)</f>
        <v>204750</v>
      </c>
      <c r="E47" s="5" t="s">
        <v>78</v>
      </c>
    </row>
    <row r="48" spans="2:5" ht="15" customHeight="1" x14ac:dyDescent="0.2">
      <c r="B48" s="10" t="s">
        <v>79</v>
      </c>
      <c r="C48" s="11">
        <f>C6-((C6-C7)*(C12+C13+C14)-C16)</f>
        <v>18986500</v>
      </c>
      <c r="E48" s="5" t="s">
        <v>80</v>
      </c>
    </row>
    <row r="49" spans="2:5" ht="15" customHeight="1" x14ac:dyDescent="0.2">
      <c r="B49" s="10" t="s">
        <v>81</v>
      </c>
      <c r="C49" s="12">
        <f>C30-C33</f>
        <v>3.0000000000000002E-2</v>
      </c>
      <c r="E49" s="5" t="s">
        <v>82</v>
      </c>
    </row>
    <row r="50" spans="2:5" ht="15" customHeight="1" x14ac:dyDescent="0.2">
      <c r="B50" s="10" t="s">
        <v>83</v>
      </c>
      <c r="C50" s="12">
        <f>C31-C33</f>
        <v>7.8E-2</v>
      </c>
      <c r="E50" s="5" t="s">
        <v>84</v>
      </c>
    </row>
    <row r="51" spans="2:5" ht="15" customHeight="1" x14ac:dyDescent="0.2">
      <c r="B51" s="10" t="s">
        <v>85</v>
      </c>
      <c r="C51" s="12">
        <f>C32-C33</f>
        <v>0.115</v>
      </c>
      <c r="E51" s="5" t="s">
        <v>86</v>
      </c>
    </row>
    <row r="52" spans="2:5" ht="8" customHeight="1" x14ac:dyDescent="0.2"/>
    <row r="53" spans="2:5" ht="28" customHeight="1" x14ac:dyDescent="0.2">
      <c r="B53" s="100" t="s">
        <v>434</v>
      </c>
      <c r="C53" s="98"/>
      <c r="D53" s="98"/>
      <c r="E53" s="98"/>
    </row>
  </sheetData>
  <mergeCells count="9">
    <mergeCell ref="A2:F2"/>
    <mergeCell ref="B18:E18"/>
    <mergeCell ref="B53:E53"/>
    <mergeCell ref="A1:F1"/>
    <mergeCell ref="B29:E29"/>
    <mergeCell ref="B39:E39"/>
    <mergeCell ref="B11:E11"/>
    <mergeCell ref="B5:E5"/>
    <mergeCell ref="B22:E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D72"/>
  </sheetPr>
  <dimension ref="A1:F31"/>
  <sheetViews>
    <sheetView showGridLines="0" workbookViewId="0">
      <selection activeCell="E19" sqref="E19"/>
    </sheetView>
  </sheetViews>
  <sheetFormatPr baseColWidth="10" defaultColWidth="8.83203125" defaultRowHeight="15" x14ac:dyDescent="0.2"/>
  <cols>
    <col min="1" max="1" width="3" customWidth="1"/>
    <col min="2" max="2" width="30" customWidth="1"/>
    <col min="3" max="5" width="20" customWidth="1"/>
    <col min="6" max="6" width="3" customWidth="1"/>
  </cols>
  <sheetData>
    <row r="1" spans="1:6" ht="30" customHeight="1" x14ac:dyDescent="0.2">
      <c r="A1" s="101" t="s">
        <v>87</v>
      </c>
      <c r="B1" s="98"/>
      <c r="C1" s="98"/>
      <c r="D1" s="98"/>
      <c r="E1" s="98"/>
      <c r="F1" s="98"/>
    </row>
    <row r="2" spans="1:6" ht="18" customHeight="1" x14ac:dyDescent="0.2">
      <c r="A2" s="97" t="s">
        <v>88</v>
      </c>
      <c r="B2" s="98"/>
      <c r="C2" s="98"/>
      <c r="D2" s="98"/>
      <c r="E2" s="98"/>
      <c r="F2" s="98"/>
    </row>
    <row r="3" spans="1:6" ht="8" customHeight="1" x14ac:dyDescent="0.2"/>
    <row r="4" spans="1:6" ht="18" customHeight="1" x14ac:dyDescent="0.2">
      <c r="B4" s="99" t="s">
        <v>89</v>
      </c>
      <c r="C4" s="98"/>
      <c r="D4" s="98"/>
      <c r="E4" s="98"/>
    </row>
    <row r="5" spans="1:6" ht="16" customHeight="1" x14ac:dyDescent="0.2">
      <c r="B5" s="13" t="s">
        <v>90</v>
      </c>
      <c r="C5" s="103" t="s">
        <v>91</v>
      </c>
      <c r="D5" s="98"/>
      <c r="E5" s="98"/>
    </row>
    <row r="6" spans="1:6" ht="16" customHeight="1" x14ac:dyDescent="0.2">
      <c r="B6" s="2" t="s">
        <v>4</v>
      </c>
      <c r="C6" s="104">
        <f>Inputs!C6</f>
        <v>25000000</v>
      </c>
      <c r="D6" s="98"/>
      <c r="E6" s="98"/>
    </row>
    <row r="7" spans="1:6" ht="16" customHeight="1" x14ac:dyDescent="0.2">
      <c r="B7" s="13" t="s">
        <v>92</v>
      </c>
      <c r="C7" s="103" t="s">
        <v>93</v>
      </c>
      <c r="D7" s="98"/>
      <c r="E7" s="98"/>
    </row>
    <row r="8" spans="1:6" ht="16" customHeight="1" x14ac:dyDescent="0.2">
      <c r="B8" s="2" t="s">
        <v>94</v>
      </c>
      <c r="C8" s="102" t="s">
        <v>95</v>
      </c>
      <c r="D8" s="98"/>
      <c r="E8" s="98"/>
    </row>
    <row r="9" spans="1:6" ht="16" customHeight="1" x14ac:dyDescent="0.2">
      <c r="B9" s="13" t="s">
        <v>96</v>
      </c>
      <c r="C9" s="103" t="s">
        <v>97</v>
      </c>
      <c r="D9" s="98"/>
      <c r="E9" s="98"/>
    </row>
    <row r="10" spans="1:6" ht="8" customHeight="1" x14ac:dyDescent="0.2"/>
    <row r="11" spans="1:6" ht="18" customHeight="1" x14ac:dyDescent="0.2">
      <c r="B11" s="99" t="s">
        <v>98</v>
      </c>
      <c r="C11" s="98"/>
      <c r="D11" s="98"/>
      <c r="E11" s="98"/>
    </row>
    <row r="12" spans="1:6" ht="16" customHeight="1" x14ac:dyDescent="0.2">
      <c r="B12" s="1" t="s">
        <v>99</v>
      </c>
      <c r="C12" s="1" t="s">
        <v>100</v>
      </c>
      <c r="D12" s="1" t="s">
        <v>101</v>
      </c>
      <c r="E12" s="1" t="s">
        <v>102</v>
      </c>
    </row>
    <row r="13" spans="1:6" ht="15" customHeight="1" x14ac:dyDescent="0.2">
      <c r="B13" s="16" t="s">
        <v>103</v>
      </c>
      <c r="C13" s="17" t="s">
        <v>104</v>
      </c>
      <c r="D13" s="18" t="s">
        <v>105</v>
      </c>
      <c r="E13" s="19" t="s">
        <v>106</v>
      </c>
    </row>
    <row r="14" spans="1:6" ht="15" customHeight="1" x14ac:dyDescent="0.2">
      <c r="B14" s="10" t="s">
        <v>107</v>
      </c>
      <c r="C14" s="20" t="s">
        <v>108</v>
      </c>
      <c r="D14" s="21" t="s">
        <v>109</v>
      </c>
      <c r="E14" s="22" t="s">
        <v>110</v>
      </c>
    </row>
    <row r="15" spans="1:6" ht="15" customHeight="1" x14ac:dyDescent="0.2">
      <c r="B15" s="16" t="s">
        <v>111</v>
      </c>
      <c r="C15" s="17" t="s">
        <v>112</v>
      </c>
      <c r="D15" s="18" t="s">
        <v>113</v>
      </c>
      <c r="E15" s="19" t="s">
        <v>114</v>
      </c>
    </row>
    <row r="16" spans="1:6" ht="15" customHeight="1" x14ac:dyDescent="0.2">
      <c r="B16" s="10" t="s">
        <v>115</v>
      </c>
      <c r="C16" s="20" t="s">
        <v>116</v>
      </c>
      <c r="D16" s="21" t="s">
        <v>117</v>
      </c>
      <c r="E16" s="22" t="s">
        <v>118</v>
      </c>
    </row>
    <row r="17" spans="2:5" ht="15" customHeight="1" x14ac:dyDescent="0.2">
      <c r="B17" s="16" t="s">
        <v>119</v>
      </c>
      <c r="C17" s="17" t="s">
        <v>120</v>
      </c>
      <c r="D17" s="18" t="s">
        <v>121</v>
      </c>
      <c r="E17" s="19" t="s">
        <v>122</v>
      </c>
    </row>
    <row r="18" spans="2:5" ht="15" customHeight="1" x14ac:dyDescent="0.2">
      <c r="B18" s="10" t="s">
        <v>123</v>
      </c>
      <c r="C18" s="20" t="s">
        <v>124</v>
      </c>
      <c r="D18" s="21" t="s">
        <v>125</v>
      </c>
      <c r="E18" s="22" t="s">
        <v>126</v>
      </c>
    </row>
    <row r="19" spans="2:5" ht="15" customHeight="1" x14ac:dyDescent="0.2">
      <c r="B19" s="16" t="s">
        <v>127</v>
      </c>
      <c r="C19" s="17" t="s">
        <v>128</v>
      </c>
      <c r="D19" s="18" t="s">
        <v>129</v>
      </c>
      <c r="E19" s="19" t="s">
        <v>130</v>
      </c>
    </row>
    <row r="20" spans="2:5" ht="15" customHeight="1" x14ac:dyDescent="0.2">
      <c r="B20" s="10" t="s">
        <v>131</v>
      </c>
      <c r="C20" s="20" t="s">
        <v>132</v>
      </c>
      <c r="D20" s="21" t="s">
        <v>125</v>
      </c>
      <c r="E20" s="22" t="s">
        <v>133</v>
      </c>
    </row>
    <row r="21" spans="2:5" ht="15" customHeight="1" x14ac:dyDescent="0.2">
      <c r="B21" s="16" t="s">
        <v>134</v>
      </c>
      <c r="C21" s="17" t="s">
        <v>135</v>
      </c>
      <c r="D21" s="18" t="s">
        <v>136</v>
      </c>
      <c r="E21" s="19" t="s">
        <v>137</v>
      </c>
    </row>
    <row r="22" spans="2:5" ht="8" customHeight="1" x14ac:dyDescent="0.2"/>
    <row r="23" spans="2:5" ht="18" customHeight="1" x14ac:dyDescent="0.2">
      <c r="B23" s="99" t="s">
        <v>138</v>
      </c>
      <c r="C23" s="98"/>
      <c r="D23" s="98"/>
      <c r="E23" s="98"/>
    </row>
    <row r="24" spans="2:5" ht="16" customHeight="1" x14ac:dyDescent="0.2">
      <c r="B24" s="1" t="s">
        <v>139</v>
      </c>
      <c r="C24" s="105" t="s">
        <v>140</v>
      </c>
      <c r="D24" s="106"/>
      <c r="E24" s="107"/>
    </row>
    <row r="25" spans="2:5" ht="38" customHeight="1" x14ac:dyDescent="0.2">
      <c r="B25" s="13" t="s">
        <v>141</v>
      </c>
      <c r="C25" s="103" t="s">
        <v>142</v>
      </c>
      <c r="D25" s="98"/>
      <c r="E25" s="98"/>
    </row>
    <row r="26" spans="2:5" ht="43" customHeight="1" x14ac:dyDescent="0.2">
      <c r="B26" s="2" t="s">
        <v>143</v>
      </c>
      <c r="C26" s="102" t="s">
        <v>144</v>
      </c>
      <c r="D26" s="98"/>
      <c r="E26" s="98"/>
    </row>
    <row r="27" spans="2:5" ht="45" customHeight="1" x14ac:dyDescent="0.2">
      <c r="B27" s="13" t="s">
        <v>145</v>
      </c>
      <c r="C27" s="103" t="s">
        <v>146</v>
      </c>
      <c r="D27" s="98"/>
      <c r="E27" s="98"/>
    </row>
    <row r="28" spans="2:5" ht="34" customHeight="1" x14ac:dyDescent="0.2">
      <c r="B28" s="2" t="s">
        <v>147</v>
      </c>
      <c r="C28" s="102" t="s">
        <v>148</v>
      </c>
      <c r="D28" s="98"/>
      <c r="E28" s="98"/>
    </row>
    <row r="29" spans="2:5" ht="42" customHeight="1" x14ac:dyDescent="0.2">
      <c r="B29" s="13" t="s">
        <v>149</v>
      </c>
      <c r="C29" s="103" t="s">
        <v>150</v>
      </c>
      <c r="D29" s="98"/>
      <c r="E29" s="98"/>
    </row>
    <row r="30" spans="2:5" ht="8" customHeight="1" x14ac:dyDescent="0.2"/>
    <row r="31" spans="2:5" ht="19" customHeight="1" x14ac:dyDescent="0.2">
      <c r="B31" s="100" t="s">
        <v>435</v>
      </c>
      <c r="C31" s="98"/>
      <c r="D31" s="98"/>
      <c r="E31" s="98"/>
    </row>
  </sheetData>
  <mergeCells count="17">
    <mergeCell ref="B31:E31"/>
    <mergeCell ref="C28:E28"/>
    <mergeCell ref="C27:E27"/>
    <mergeCell ref="C5:E5"/>
    <mergeCell ref="B4:E4"/>
    <mergeCell ref="C29:E29"/>
    <mergeCell ref="A1:F1"/>
    <mergeCell ref="C8:E8"/>
    <mergeCell ref="C9:E9"/>
    <mergeCell ref="B11:E11"/>
    <mergeCell ref="C26:E26"/>
    <mergeCell ref="C7:E7"/>
    <mergeCell ref="C25:E25"/>
    <mergeCell ref="C6:E6"/>
    <mergeCell ref="C24:E24"/>
    <mergeCell ref="A2:F2"/>
    <mergeCell ref="B23:E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5C99"/>
  </sheetPr>
  <dimension ref="A1:G42"/>
  <sheetViews>
    <sheetView showGridLines="0" workbookViewId="0">
      <selection sqref="A1:G1"/>
    </sheetView>
  </sheetViews>
  <sheetFormatPr baseColWidth="10" defaultColWidth="8.83203125" defaultRowHeight="15" x14ac:dyDescent="0.2"/>
  <cols>
    <col min="1" max="1" width="3" customWidth="1"/>
    <col min="2" max="2" width="28" customWidth="1"/>
    <col min="3" max="6" width="16" customWidth="1"/>
    <col min="7" max="7" width="3" customWidth="1"/>
  </cols>
  <sheetData>
    <row r="1" spans="1:7" ht="30" customHeight="1" x14ac:dyDescent="0.2">
      <c r="A1" s="101" t="s">
        <v>151</v>
      </c>
      <c r="B1" s="98"/>
      <c r="C1" s="98"/>
      <c r="D1" s="98"/>
      <c r="E1" s="98"/>
      <c r="F1" s="98"/>
      <c r="G1" s="98"/>
    </row>
    <row r="2" spans="1:7" ht="18" customHeight="1" x14ac:dyDescent="0.2">
      <c r="A2" s="97" t="s">
        <v>152</v>
      </c>
      <c r="B2" s="98"/>
      <c r="C2" s="98"/>
      <c r="D2" s="98"/>
      <c r="E2" s="98"/>
      <c r="F2" s="98"/>
      <c r="G2" s="98"/>
    </row>
    <row r="3" spans="1:7" ht="8" customHeight="1" x14ac:dyDescent="0.2"/>
    <row r="4" spans="1:7" ht="18" customHeight="1" x14ac:dyDescent="0.2">
      <c r="B4" s="99" t="s">
        <v>153</v>
      </c>
      <c r="C4" s="98"/>
      <c r="D4" s="98"/>
      <c r="E4" s="98"/>
      <c r="F4" s="98"/>
    </row>
    <row r="5" spans="1:7" ht="28" customHeight="1" x14ac:dyDescent="0.2">
      <c r="B5" s="1" t="s">
        <v>154</v>
      </c>
      <c r="C5" s="1" t="s">
        <v>155</v>
      </c>
      <c r="D5" s="1" t="s">
        <v>156</v>
      </c>
      <c r="E5" s="1" t="s">
        <v>157</v>
      </c>
      <c r="F5" s="1" t="s">
        <v>158</v>
      </c>
    </row>
    <row r="6" spans="1:7" ht="16" customHeight="1" x14ac:dyDescent="0.2">
      <c r="B6" s="23" t="s">
        <v>159</v>
      </c>
      <c r="C6" s="24">
        <v>0.1</v>
      </c>
      <c r="D6" s="25">
        <v>2500000</v>
      </c>
      <c r="E6" s="24">
        <v>0.02</v>
      </c>
      <c r="F6" s="25">
        <v>500000</v>
      </c>
    </row>
    <row r="7" spans="1:7" ht="13" customHeight="1" x14ac:dyDescent="0.2">
      <c r="B7" s="26" t="s">
        <v>160</v>
      </c>
      <c r="C7" s="27">
        <v>0.1</v>
      </c>
      <c r="D7" s="28">
        <v>2500000</v>
      </c>
      <c r="E7" s="29">
        <v>0.02</v>
      </c>
      <c r="F7" s="30">
        <v>500000</v>
      </c>
    </row>
    <row r="8" spans="1:7" ht="16" customHeight="1" x14ac:dyDescent="0.2">
      <c r="B8" s="23" t="s">
        <v>161</v>
      </c>
      <c r="C8" s="24"/>
      <c r="D8" s="25"/>
      <c r="E8" s="24">
        <v>0.23</v>
      </c>
      <c r="F8" s="25">
        <v>5750000</v>
      </c>
    </row>
    <row r="9" spans="1:7" ht="13" customHeight="1" x14ac:dyDescent="0.2">
      <c r="B9" s="26" t="s">
        <v>162</v>
      </c>
      <c r="C9" s="31"/>
      <c r="D9" s="32"/>
      <c r="E9" s="29">
        <v>0.05</v>
      </c>
      <c r="F9" s="30">
        <v>1250000</v>
      </c>
    </row>
    <row r="10" spans="1:7" ht="13" customHeight="1" x14ac:dyDescent="0.2">
      <c r="B10" s="33" t="s">
        <v>163</v>
      </c>
      <c r="C10" s="34"/>
      <c r="D10" s="35"/>
      <c r="E10" s="36">
        <v>0.15</v>
      </c>
      <c r="F10" s="37">
        <v>3750000</v>
      </c>
    </row>
    <row r="11" spans="1:7" ht="13" customHeight="1" x14ac:dyDescent="0.2">
      <c r="B11" s="26" t="s">
        <v>164</v>
      </c>
      <c r="C11" s="31"/>
      <c r="D11" s="32"/>
      <c r="E11" s="29">
        <v>0.03</v>
      </c>
      <c r="F11" s="30">
        <v>750000</v>
      </c>
    </row>
    <row r="12" spans="1:7" ht="16" customHeight="1" x14ac:dyDescent="0.2">
      <c r="B12" s="23" t="s">
        <v>165</v>
      </c>
      <c r="C12" s="24"/>
      <c r="D12" s="25"/>
      <c r="E12" s="24">
        <v>0.12</v>
      </c>
      <c r="F12" s="25">
        <v>3000000</v>
      </c>
    </row>
    <row r="13" spans="1:7" ht="13" customHeight="1" x14ac:dyDescent="0.2">
      <c r="B13" s="26" t="s">
        <v>166</v>
      </c>
      <c r="C13" s="31"/>
      <c r="D13" s="32"/>
      <c r="E13" s="29">
        <v>0.08</v>
      </c>
      <c r="F13" s="30">
        <v>2000000</v>
      </c>
    </row>
    <row r="14" spans="1:7" ht="13" customHeight="1" x14ac:dyDescent="0.2">
      <c r="B14" s="33" t="s">
        <v>167</v>
      </c>
      <c r="C14" s="34"/>
      <c r="D14" s="35"/>
      <c r="E14" s="36">
        <v>0.04</v>
      </c>
      <c r="F14" s="37">
        <v>1000000</v>
      </c>
    </row>
    <row r="15" spans="1:7" ht="16" customHeight="1" x14ac:dyDescent="0.2">
      <c r="B15" s="23" t="s">
        <v>168</v>
      </c>
      <c r="C15" s="24">
        <v>1.8</v>
      </c>
      <c r="D15" s="25">
        <v>45000000</v>
      </c>
      <c r="E15" s="24">
        <v>0.55000000000000004</v>
      </c>
      <c r="F15" s="25">
        <v>13750000</v>
      </c>
    </row>
    <row r="16" spans="1:7" ht="13" customHeight="1" x14ac:dyDescent="0.2">
      <c r="B16" s="26" t="s">
        <v>169</v>
      </c>
      <c r="C16" s="31"/>
      <c r="D16" s="32"/>
      <c r="E16" s="29">
        <v>0.05</v>
      </c>
      <c r="F16" s="30">
        <v>1250000</v>
      </c>
    </row>
    <row r="17" spans="2:6" ht="13" customHeight="1" x14ac:dyDescent="0.2">
      <c r="B17" s="33" t="s">
        <v>170</v>
      </c>
      <c r="C17" s="34"/>
      <c r="D17" s="35"/>
      <c r="E17" s="36">
        <v>0.12</v>
      </c>
      <c r="F17" s="37">
        <v>3000000</v>
      </c>
    </row>
    <row r="18" spans="2:6" ht="13" customHeight="1" x14ac:dyDescent="0.2">
      <c r="B18" s="26" t="s">
        <v>171</v>
      </c>
      <c r="C18" s="31"/>
      <c r="D18" s="32"/>
      <c r="E18" s="29">
        <v>0.25</v>
      </c>
      <c r="F18" s="30">
        <v>6250000</v>
      </c>
    </row>
    <row r="19" spans="2:6" ht="13" customHeight="1" x14ac:dyDescent="0.2">
      <c r="B19" s="33" t="s">
        <v>172</v>
      </c>
      <c r="C19" s="38">
        <v>0.9</v>
      </c>
      <c r="D19" s="39">
        <v>22500000</v>
      </c>
      <c r="E19" s="34"/>
      <c r="F19" s="35"/>
    </row>
    <row r="20" spans="2:6" ht="13" customHeight="1" x14ac:dyDescent="0.2">
      <c r="B20" s="26" t="s">
        <v>173</v>
      </c>
      <c r="C20" s="27">
        <v>0.9</v>
      </c>
      <c r="D20" s="28">
        <v>22500000</v>
      </c>
      <c r="E20" s="31"/>
      <c r="F20" s="32"/>
    </row>
    <row r="21" spans="2:6" ht="13" customHeight="1" x14ac:dyDescent="0.2">
      <c r="B21" s="33" t="s">
        <v>174</v>
      </c>
      <c r="C21" s="34"/>
      <c r="D21" s="35"/>
      <c r="E21" s="36">
        <v>0.08</v>
      </c>
      <c r="F21" s="37">
        <v>2000000</v>
      </c>
    </row>
    <row r="22" spans="2:6" ht="13" customHeight="1" x14ac:dyDescent="0.2">
      <c r="B22" s="26" t="s">
        <v>175</v>
      </c>
      <c r="C22" s="31"/>
      <c r="D22" s="32"/>
      <c r="E22" s="29">
        <v>0.05</v>
      </c>
      <c r="F22" s="30">
        <v>1250000</v>
      </c>
    </row>
    <row r="23" spans="2:6" ht="16" customHeight="1" x14ac:dyDescent="0.2">
      <c r="B23" s="23" t="s">
        <v>176</v>
      </c>
      <c r="C23" s="24"/>
      <c r="D23" s="25"/>
      <c r="E23" s="24">
        <v>0.08</v>
      </c>
      <c r="F23" s="25">
        <v>2000000</v>
      </c>
    </row>
    <row r="24" spans="2:6" ht="13" customHeight="1" x14ac:dyDescent="0.2">
      <c r="B24" s="26" t="s">
        <v>177</v>
      </c>
      <c r="C24" s="31"/>
      <c r="D24" s="32"/>
      <c r="E24" s="29">
        <v>0.05</v>
      </c>
      <c r="F24" s="30">
        <v>1250000</v>
      </c>
    </row>
    <row r="25" spans="2:6" ht="13" customHeight="1" x14ac:dyDescent="0.2">
      <c r="B25" s="33" t="s">
        <v>178</v>
      </c>
      <c r="C25" s="34"/>
      <c r="D25" s="35"/>
      <c r="E25" s="36">
        <v>0.03</v>
      </c>
      <c r="F25" s="37">
        <v>750000</v>
      </c>
    </row>
    <row r="26" spans="2:6" ht="18" customHeight="1" x14ac:dyDescent="0.2">
      <c r="B26" s="40" t="s">
        <v>179</v>
      </c>
      <c r="C26" s="41">
        <v>1</v>
      </c>
      <c r="D26" s="42">
        <f>Inputs!C6</f>
        <v>25000000</v>
      </c>
      <c r="E26" s="41">
        <v>1</v>
      </c>
      <c r="F26" s="42">
        <f>Inputs!C6</f>
        <v>25000000</v>
      </c>
    </row>
    <row r="28" spans="2:6" ht="18" customHeight="1" x14ac:dyDescent="0.2">
      <c r="B28" s="99" t="s">
        <v>180</v>
      </c>
      <c r="C28" s="98"/>
      <c r="D28" s="98"/>
      <c r="E28" s="98"/>
      <c r="F28" s="98"/>
    </row>
    <row r="29" spans="2:6" ht="16" customHeight="1" x14ac:dyDescent="0.2">
      <c r="B29" s="1" t="s">
        <v>99</v>
      </c>
      <c r="C29" s="1" t="s">
        <v>181</v>
      </c>
      <c r="D29" s="1" t="s">
        <v>100</v>
      </c>
      <c r="E29" s="1" t="s">
        <v>101</v>
      </c>
      <c r="F29" s="1" t="s">
        <v>182</v>
      </c>
    </row>
    <row r="30" spans="2:6" ht="15" customHeight="1" x14ac:dyDescent="0.2">
      <c r="B30" s="16" t="s">
        <v>107</v>
      </c>
      <c r="C30" s="43" t="s">
        <v>183</v>
      </c>
      <c r="D30" s="17" t="s">
        <v>108</v>
      </c>
      <c r="E30" s="18" t="s">
        <v>109</v>
      </c>
      <c r="F30" s="19" t="s">
        <v>110</v>
      </c>
    </row>
    <row r="31" spans="2:6" ht="15" customHeight="1" x14ac:dyDescent="0.2">
      <c r="B31" s="10" t="s">
        <v>184</v>
      </c>
      <c r="C31" s="44" t="s">
        <v>183</v>
      </c>
      <c r="D31" s="20" t="s">
        <v>112</v>
      </c>
      <c r="E31" s="21" t="s">
        <v>113</v>
      </c>
      <c r="F31" s="22" t="s">
        <v>114</v>
      </c>
    </row>
    <row r="32" spans="2:6" ht="15" customHeight="1" x14ac:dyDescent="0.2">
      <c r="B32" s="16" t="s">
        <v>185</v>
      </c>
      <c r="C32" s="43" t="s">
        <v>183</v>
      </c>
      <c r="D32" s="17" t="s">
        <v>116</v>
      </c>
      <c r="E32" s="18" t="s">
        <v>117</v>
      </c>
      <c r="F32" s="19" t="s">
        <v>118</v>
      </c>
    </row>
    <row r="33" spans="2:6" ht="15" customHeight="1" x14ac:dyDescent="0.2">
      <c r="B33" s="10" t="s">
        <v>119</v>
      </c>
      <c r="C33" s="44" t="s">
        <v>183</v>
      </c>
      <c r="D33" s="20" t="s">
        <v>186</v>
      </c>
      <c r="E33" s="21" t="s">
        <v>187</v>
      </c>
      <c r="F33" s="22" t="s">
        <v>122</v>
      </c>
    </row>
    <row r="34" spans="2:6" ht="15" customHeight="1" x14ac:dyDescent="0.2">
      <c r="B34" s="16" t="s">
        <v>188</v>
      </c>
      <c r="C34" s="43" t="s">
        <v>189</v>
      </c>
      <c r="D34" s="17" t="s">
        <v>190</v>
      </c>
      <c r="E34" s="18" t="s">
        <v>191</v>
      </c>
      <c r="F34" s="45" t="s">
        <v>192</v>
      </c>
    </row>
    <row r="35" spans="2:6" ht="15" customHeight="1" x14ac:dyDescent="0.2">
      <c r="B35" s="10" t="s">
        <v>193</v>
      </c>
      <c r="C35" s="44" t="s">
        <v>189</v>
      </c>
      <c r="D35" s="20" t="s">
        <v>124</v>
      </c>
      <c r="E35" s="21" t="s">
        <v>125</v>
      </c>
      <c r="F35" s="22" t="s">
        <v>126</v>
      </c>
    </row>
    <row r="36" spans="2:6" ht="15" customHeight="1" x14ac:dyDescent="0.2">
      <c r="B36" s="16" t="s">
        <v>194</v>
      </c>
      <c r="C36" s="43" t="s">
        <v>189</v>
      </c>
      <c r="D36" s="17" t="s">
        <v>195</v>
      </c>
      <c r="E36" s="18" t="s">
        <v>196</v>
      </c>
      <c r="F36" s="45" t="s">
        <v>197</v>
      </c>
    </row>
    <row r="37" spans="2:6" ht="15" customHeight="1" x14ac:dyDescent="0.2">
      <c r="B37" s="10" t="s">
        <v>134</v>
      </c>
      <c r="C37" s="44" t="s">
        <v>198</v>
      </c>
      <c r="D37" s="20" t="s">
        <v>135</v>
      </c>
      <c r="E37" s="21" t="s">
        <v>136</v>
      </c>
      <c r="F37" s="22" t="s">
        <v>199</v>
      </c>
    </row>
    <row r="38" spans="2:6" ht="15" customHeight="1" x14ac:dyDescent="0.2">
      <c r="B38" s="16" t="s">
        <v>200</v>
      </c>
      <c r="C38" s="43" t="s">
        <v>198</v>
      </c>
      <c r="D38" s="17" t="s">
        <v>104</v>
      </c>
      <c r="E38" s="18" t="s">
        <v>105</v>
      </c>
      <c r="F38" s="19" t="s">
        <v>201</v>
      </c>
    </row>
    <row r="39" spans="2:6" ht="15" customHeight="1" x14ac:dyDescent="0.2">
      <c r="B39" s="10" t="s">
        <v>202</v>
      </c>
      <c r="C39" s="44" t="s">
        <v>198</v>
      </c>
      <c r="D39" s="20" t="s">
        <v>203</v>
      </c>
      <c r="E39" s="21" t="s">
        <v>204</v>
      </c>
      <c r="F39" s="22" t="s">
        <v>205</v>
      </c>
    </row>
    <row r="40" spans="2:6" ht="15" customHeight="1" x14ac:dyDescent="0.2">
      <c r="B40" s="16" t="s">
        <v>131</v>
      </c>
      <c r="C40" s="43" t="s">
        <v>198</v>
      </c>
      <c r="D40" s="17" t="s">
        <v>132</v>
      </c>
      <c r="E40" s="18" t="s">
        <v>125</v>
      </c>
      <c r="F40" s="45" t="s">
        <v>133</v>
      </c>
    </row>
    <row r="41" spans="2:6" ht="15" customHeight="1" x14ac:dyDescent="0.2">
      <c r="B41" s="10" t="s">
        <v>206</v>
      </c>
      <c r="C41" s="44" t="s">
        <v>207</v>
      </c>
      <c r="D41" s="20" t="s">
        <v>128</v>
      </c>
      <c r="E41" s="21" t="s">
        <v>129</v>
      </c>
      <c r="F41" s="22" t="s">
        <v>208</v>
      </c>
    </row>
    <row r="42" spans="2:6" ht="15" customHeight="1" x14ac:dyDescent="0.2">
      <c r="B42" s="16" t="s">
        <v>209</v>
      </c>
      <c r="C42" s="43" t="s">
        <v>207</v>
      </c>
      <c r="D42" s="17" t="s">
        <v>210</v>
      </c>
      <c r="E42" s="18" t="s">
        <v>211</v>
      </c>
      <c r="F42" s="19" t="s">
        <v>212</v>
      </c>
    </row>
  </sheetData>
  <mergeCells count="4">
    <mergeCell ref="B4:F4"/>
    <mergeCell ref="A2:G2"/>
    <mergeCell ref="B28:F28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8860B"/>
  </sheetPr>
  <dimension ref="A1:F34"/>
  <sheetViews>
    <sheetView showGridLines="0" workbookViewId="0">
      <selection activeCell="B35" sqref="B35"/>
    </sheetView>
  </sheetViews>
  <sheetFormatPr baseColWidth="10" defaultColWidth="8.83203125" defaultRowHeight="15" x14ac:dyDescent="0.2"/>
  <cols>
    <col min="1" max="1" width="3" customWidth="1"/>
    <col min="2" max="2" width="32" customWidth="1"/>
    <col min="3" max="3" width="20" customWidth="1"/>
    <col min="4" max="4" width="18" customWidth="1"/>
    <col min="5" max="5" width="28" customWidth="1"/>
    <col min="6" max="6" width="3" customWidth="1"/>
  </cols>
  <sheetData>
    <row r="1" spans="1:6" ht="30" customHeight="1" x14ac:dyDescent="0.2">
      <c r="A1" s="101" t="s">
        <v>213</v>
      </c>
      <c r="B1" s="98"/>
      <c r="C1" s="98"/>
      <c r="D1" s="98"/>
      <c r="E1" s="98"/>
      <c r="F1" s="98"/>
    </row>
    <row r="2" spans="1:6" ht="18" customHeight="1" x14ac:dyDescent="0.2">
      <c r="A2" s="97" t="s">
        <v>214</v>
      </c>
      <c r="B2" s="98"/>
      <c r="C2" s="98"/>
      <c r="D2" s="98"/>
      <c r="E2" s="98"/>
      <c r="F2" s="98"/>
    </row>
    <row r="3" spans="1:6" ht="8" customHeight="1" x14ac:dyDescent="0.2"/>
    <row r="4" spans="1:6" ht="18" customHeight="1" x14ac:dyDescent="0.2">
      <c r="B4" s="99" t="s">
        <v>215</v>
      </c>
      <c r="C4" s="98"/>
      <c r="D4" s="98"/>
      <c r="E4" s="98"/>
    </row>
    <row r="5" spans="1:6" ht="16" customHeight="1" x14ac:dyDescent="0.2">
      <c r="B5" s="1" t="s">
        <v>216</v>
      </c>
      <c r="C5" s="1" t="s">
        <v>217</v>
      </c>
      <c r="D5" s="105" t="s">
        <v>218</v>
      </c>
      <c r="E5" s="107"/>
    </row>
    <row r="6" spans="1:6" ht="15" customHeight="1" x14ac:dyDescent="0.2">
      <c r="B6" s="14" t="s">
        <v>219</v>
      </c>
      <c r="C6" s="46">
        <f>Inputs!C6</f>
        <v>25000000</v>
      </c>
      <c r="D6" s="109" t="s">
        <v>220</v>
      </c>
      <c r="E6" s="98"/>
    </row>
    <row r="7" spans="1:6" ht="15" customHeight="1" x14ac:dyDescent="0.2">
      <c r="B7" s="15" t="s">
        <v>7</v>
      </c>
      <c r="C7" s="46">
        <f>Inputs!C7</f>
        <v>6500000</v>
      </c>
      <c r="D7" s="111" t="s">
        <v>221</v>
      </c>
      <c r="E7" s="98"/>
    </row>
    <row r="8" spans="1:6" ht="15" customHeight="1" x14ac:dyDescent="0.2">
      <c r="B8" s="13" t="s">
        <v>63</v>
      </c>
      <c r="C8" s="49">
        <f>Inputs!C40</f>
        <v>18500000</v>
      </c>
      <c r="D8" s="109" t="s">
        <v>222</v>
      </c>
      <c r="E8" s="98"/>
    </row>
    <row r="9" spans="1:6" ht="15" customHeight="1" x14ac:dyDescent="0.2">
      <c r="B9" s="15" t="s">
        <v>223</v>
      </c>
      <c r="C9" s="50">
        <f>Inputs!C12</f>
        <v>0.2</v>
      </c>
      <c r="D9" s="111" t="s">
        <v>224</v>
      </c>
      <c r="E9" s="98"/>
    </row>
    <row r="10" spans="1:6" ht="15" customHeight="1" x14ac:dyDescent="0.2">
      <c r="B10" s="14" t="s">
        <v>17</v>
      </c>
      <c r="C10" s="50">
        <f>Inputs!C13</f>
        <v>3.7999999999999999E-2</v>
      </c>
      <c r="D10" s="109" t="s">
        <v>225</v>
      </c>
      <c r="E10" s="98"/>
    </row>
    <row r="11" spans="1:6" ht="15" customHeight="1" x14ac:dyDescent="0.2">
      <c r="B11" s="15" t="s">
        <v>226</v>
      </c>
      <c r="C11" s="50">
        <f>Inputs!C14</f>
        <v>0.13300000000000001</v>
      </c>
      <c r="D11" s="111" t="s">
        <v>227</v>
      </c>
      <c r="E11" s="98"/>
    </row>
    <row r="12" spans="1:6" ht="15" customHeight="1" x14ac:dyDescent="0.2">
      <c r="B12" s="13" t="s">
        <v>228</v>
      </c>
      <c r="C12" s="51">
        <f>Inputs!C41</f>
        <v>0.371</v>
      </c>
      <c r="D12" s="109" t="s">
        <v>229</v>
      </c>
      <c r="E12" s="98"/>
    </row>
    <row r="13" spans="1:6" ht="15" customHeight="1" x14ac:dyDescent="0.2">
      <c r="B13" s="2" t="s">
        <v>67</v>
      </c>
      <c r="C13" s="49">
        <f>Inputs!C42</f>
        <v>6863500</v>
      </c>
      <c r="D13" s="111" t="s">
        <v>230</v>
      </c>
      <c r="E13" s="98"/>
    </row>
    <row r="14" spans="1:6" ht="15" customHeight="1" x14ac:dyDescent="0.2">
      <c r="B14" s="14" t="s">
        <v>23</v>
      </c>
      <c r="C14" s="52">
        <f>0-Inputs!C16</f>
        <v>-850000</v>
      </c>
      <c r="D14" s="109" t="s">
        <v>231</v>
      </c>
      <c r="E14" s="98"/>
    </row>
    <row r="15" spans="1:6" ht="15" customHeight="1" x14ac:dyDescent="0.2">
      <c r="B15" s="2" t="s">
        <v>69</v>
      </c>
      <c r="C15" s="49">
        <f>Inputs!C43</f>
        <v>6013500</v>
      </c>
      <c r="D15" s="111" t="s">
        <v>232</v>
      </c>
      <c r="E15" s="98"/>
    </row>
    <row r="16" spans="1:6" ht="8" customHeight="1" x14ac:dyDescent="0.2"/>
    <row r="17" spans="2:5" ht="18" customHeight="1" x14ac:dyDescent="0.2">
      <c r="B17" s="99" t="s">
        <v>233</v>
      </c>
      <c r="C17" s="98"/>
      <c r="D17" s="98"/>
      <c r="E17" s="98"/>
    </row>
    <row r="18" spans="2:5" ht="16" customHeight="1" x14ac:dyDescent="0.2">
      <c r="B18" s="1" t="s">
        <v>234</v>
      </c>
      <c r="C18" s="1" t="s">
        <v>235</v>
      </c>
      <c r="D18" s="1" t="s">
        <v>236</v>
      </c>
      <c r="E18" s="1" t="s">
        <v>237</v>
      </c>
    </row>
    <row r="19" spans="2:5" ht="15" customHeight="1" x14ac:dyDescent="0.2">
      <c r="B19" s="16" t="s">
        <v>238</v>
      </c>
      <c r="C19" s="46">
        <f>Inputs!C20</f>
        <v>4500000</v>
      </c>
      <c r="D19" s="53">
        <f>Inputs!C20*Inputs!C41</f>
        <v>1669500</v>
      </c>
      <c r="E19" s="46">
        <f>SUM(C19:C19)</f>
        <v>4500000</v>
      </c>
    </row>
    <row r="20" spans="2:5" ht="15" customHeight="1" x14ac:dyDescent="0.2">
      <c r="B20" s="10" t="s">
        <v>239</v>
      </c>
      <c r="C20" s="46">
        <f>Inputs!C20</f>
        <v>4500000</v>
      </c>
      <c r="D20" s="53">
        <f>Inputs!C20*Inputs!C41</f>
        <v>1669500</v>
      </c>
      <c r="E20" s="46">
        <f>SUM(C19:C20)</f>
        <v>9000000</v>
      </c>
    </row>
    <row r="21" spans="2:5" ht="15" customHeight="1" x14ac:dyDescent="0.2">
      <c r="B21" s="16" t="s">
        <v>240</v>
      </c>
      <c r="C21" s="46">
        <f>Inputs!C20</f>
        <v>4500000</v>
      </c>
      <c r="D21" s="53">
        <f>Inputs!C20*Inputs!C41</f>
        <v>1669500</v>
      </c>
      <c r="E21" s="46">
        <f>SUM(C19:C21)</f>
        <v>13500000</v>
      </c>
    </row>
    <row r="22" spans="2:5" ht="15" customHeight="1" x14ac:dyDescent="0.2">
      <c r="B22" s="10" t="s">
        <v>241</v>
      </c>
      <c r="C22" s="46">
        <f>Inputs!C20</f>
        <v>4500000</v>
      </c>
      <c r="D22" s="53">
        <f>Inputs!C20*Inputs!C41</f>
        <v>1669500</v>
      </c>
      <c r="E22" s="46">
        <f>SUM(C19:C22)</f>
        <v>18000000</v>
      </c>
    </row>
    <row r="23" spans="2:5" ht="15" customHeight="1" x14ac:dyDescent="0.2">
      <c r="B23" s="16" t="s">
        <v>242</v>
      </c>
      <c r="C23" s="46">
        <f>Inputs!C20</f>
        <v>4500000</v>
      </c>
      <c r="D23" s="53">
        <f>Inputs!C20*Inputs!C41</f>
        <v>1669500</v>
      </c>
      <c r="E23" s="46">
        <f>SUM(C19:C23)</f>
        <v>22500000</v>
      </c>
    </row>
    <row r="24" spans="2:5" ht="18" customHeight="1" x14ac:dyDescent="0.2">
      <c r="B24" s="40" t="s">
        <v>243</v>
      </c>
      <c r="C24" s="42">
        <f>SUM(C19:C23)</f>
        <v>22500000</v>
      </c>
      <c r="D24" s="42">
        <f>SUM(D19:D23)</f>
        <v>8347500</v>
      </c>
      <c r="E24" s="42">
        <f>SUM(C19:C23)</f>
        <v>22500000</v>
      </c>
    </row>
    <row r="26" spans="2:5" ht="18" customHeight="1" x14ac:dyDescent="0.2">
      <c r="B26" s="99" t="s">
        <v>244</v>
      </c>
      <c r="C26" s="98"/>
      <c r="D26" s="98"/>
      <c r="E26" s="98"/>
    </row>
    <row r="27" spans="2:5" ht="16" customHeight="1" x14ac:dyDescent="0.2">
      <c r="B27" s="1" t="s">
        <v>245</v>
      </c>
      <c r="C27" s="1" t="s">
        <v>246</v>
      </c>
      <c r="D27" s="105" t="s">
        <v>247</v>
      </c>
      <c r="E27" s="107"/>
    </row>
    <row r="28" spans="2:5" ht="28" customHeight="1" x14ac:dyDescent="0.2">
      <c r="B28" s="13" t="s">
        <v>248</v>
      </c>
      <c r="C28" s="54">
        <f>Inputs!C16</f>
        <v>850000</v>
      </c>
      <c r="D28" s="110" t="s">
        <v>249</v>
      </c>
      <c r="E28" s="98"/>
    </row>
    <row r="29" spans="2:5" ht="28" customHeight="1" x14ac:dyDescent="0.2">
      <c r="B29" s="2" t="s">
        <v>250</v>
      </c>
      <c r="C29" s="55">
        <v>500000</v>
      </c>
      <c r="D29" s="108" t="s">
        <v>251</v>
      </c>
      <c r="E29" s="98"/>
    </row>
    <row r="30" spans="2:5" ht="28" customHeight="1" x14ac:dyDescent="0.2">
      <c r="B30" s="13" t="s">
        <v>252</v>
      </c>
      <c r="C30" s="56">
        <v>1000000</v>
      </c>
      <c r="D30" s="110" t="s">
        <v>253</v>
      </c>
      <c r="E30" s="98"/>
    </row>
    <row r="31" spans="2:5" ht="37" customHeight="1" x14ac:dyDescent="0.2">
      <c r="B31" s="2" t="s">
        <v>254</v>
      </c>
      <c r="C31" s="57" t="s">
        <v>255</v>
      </c>
      <c r="D31" s="108" t="s">
        <v>256</v>
      </c>
      <c r="E31" s="98"/>
    </row>
    <row r="32" spans="2:5" ht="28" customHeight="1" x14ac:dyDescent="0.2">
      <c r="B32" s="13" t="s">
        <v>257</v>
      </c>
      <c r="C32" s="58" t="s">
        <v>255</v>
      </c>
      <c r="D32" s="110" t="s">
        <v>258</v>
      </c>
      <c r="E32" s="98"/>
    </row>
    <row r="33" spans="2:5" ht="8" customHeight="1" x14ac:dyDescent="0.2"/>
    <row r="34" spans="2:5" ht="22" customHeight="1" x14ac:dyDescent="0.2">
      <c r="B34" s="100" t="s">
        <v>438</v>
      </c>
      <c r="C34" s="98"/>
      <c r="D34" s="98"/>
      <c r="E34" s="98"/>
    </row>
  </sheetData>
  <mergeCells count="23">
    <mergeCell ref="D27:E27"/>
    <mergeCell ref="A2:F2"/>
    <mergeCell ref="D6:E6"/>
    <mergeCell ref="B26:E26"/>
    <mergeCell ref="B4:E4"/>
    <mergeCell ref="D11:E11"/>
    <mergeCell ref="D13:E13"/>
    <mergeCell ref="A1:F1"/>
    <mergeCell ref="D29:E29"/>
    <mergeCell ref="D5:E5"/>
    <mergeCell ref="D14:E14"/>
    <mergeCell ref="B34:E34"/>
    <mergeCell ref="D32:E32"/>
    <mergeCell ref="D7:E7"/>
    <mergeCell ref="D28:E28"/>
    <mergeCell ref="D9:E9"/>
    <mergeCell ref="D12:E12"/>
    <mergeCell ref="D8:E8"/>
    <mergeCell ref="B17:E17"/>
    <mergeCell ref="D30:E30"/>
    <mergeCell ref="D15:E15"/>
    <mergeCell ref="D10:E10"/>
    <mergeCell ref="D31:E3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03C"/>
  </sheetPr>
  <dimension ref="A1:G59"/>
  <sheetViews>
    <sheetView showGridLines="0" topLeftCell="A25" workbookViewId="0">
      <selection activeCell="N57" sqref="N57"/>
    </sheetView>
  </sheetViews>
  <sheetFormatPr baseColWidth="10" defaultColWidth="8.83203125" defaultRowHeight="15" x14ac:dyDescent="0.2"/>
  <cols>
    <col min="1" max="1" width="3" customWidth="1"/>
    <col min="2" max="2" width="30" customWidth="1"/>
    <col min="3" max="3" width="18" customWidth="1"/>
    <col min="4" max="5" width="16" customWidth="1"/>
    <col min="6" max="6" width="20" customWidth="1"/>
    <col min="7" max="7" width="3" customWidth="1"/>
  </cols>
  <sheetData>
    <row r="1" spans="1:7" ht="30" customHeight="1" x14ac:dyDescent="0.2">
      <c r="A1" s="101" t="s">
        <v>259</v>
      </c>
      <c r="B1" s="98"/>
      <c r="C1" s="98"/>
      <c r="D1" s="98"/>
      <c r="E1" s="98"/>
      <c r="F1" s="98"/>
      <c r="G1" s="98"/>
    </row>
    <row r="2" spans="1:7" ht="18" customHeight="1" x14ac:dyDescent="0.2">
      <c r="A2" s="97" t="s">
        <v>260</v>
      </c>
      <c r="B2" s="98"/>
      <c r="C2" s="98"/>
      <c r="D2" s="98"/>
      <c r="E2" s="98"/>
      <c r="F2" s="98"/>
      <c r="G2" s="98"/>
    </row>
    <row r="3" spans="1:7" ht="8" customHeight="1" x14ac:dyDescent="0.2"/>
    <row r="4" spans="1:7" ht="18" customHeight="1" x14ac:dyDescent="0.2">
      <c r="B4" s="99" t="s">
        <v>261</v>
      </c>
      <c r="C4" s="98"/>
      <c r="D4" s="98"/>
      <c r="E4" s="98"/>
      <c r="F4" s="98"/>
    </row>
    <row r="5" spans="1:7" ht="16" customHeight="1" x14ac:dyDescent="0.2">
      <c r="B5" s="1" t="s">
        <v>262</v>
      </c>
      <c r="C5" s="1" t="s">
        <v>217</v>
      </c>
      <c r="D5" s="105" t="s">
        <v>218</v>
      </c>
      <c r="E5" s="106"/>
      <c r="F5" s="107"/>
    </row>
    <row r="6" spans="1:7" ht="16" customHeight="1" x14ac:dyDescent="0.2">
      <c r="B6" s="14" t="s">
        <v>263</v>
      </c>
      <c r="C6" s="59" t="s">
        <v>264</v>
      </c>
      <c r="D6" s="109" t="s">
        <v>265</v>
      </c>
      <c r="E6" s="98"/>
      <c r="F6" s="98"/>
    </row>
    <row r="7" spans="1:7" ht="16" customHeight="1" x14ac:dyDescent="0.2">
      <c r="B7" s="2" t="s">
        <v>266</v>
      </c>
      <c r="C7" s="60">
        <f>Inputs!C23</f>
        <v>5000000</v>
      </c>
      <c r="D7" s="111" t="s">
        <v>267</v>
      </c>
      <c r="E7" s="98"/>
      <c r="F7" s="98"/>
    </row>
    <row r="8" spans="1:7" ht="16" customHeight="1" x14ac:dyDescent="0.2">
      <c r="B8" s="14" t="s">
        <v>268</v>
      </c>
      <c r="C8" s="61">
        <f>Inputs!C24</f>
        <v>15000000</v>
      </c>
      <c r="D8" s="109" t="s">
        <v>269</v>
      </c>
      <c r="E8" s="98"/>
      <c r="F8" s="98"/>
    </row>
    <row r="9" spans="1:7" ht="16" customHeight="1" x14ac:dyDescent="0.2">
      <c r="B9" s="15" t="s">
        <v>270</v>
      </c>
      <c r="C9" s="62">
        <f>Inputs!C23/Inputs!C24</f>
        <v>0.33333333333333331</v>
      </c>
      <c r="D9" s="111" t="s">
        <v>271</v>
      </c>
      <c r="E9" s="98"/>
      <c r="F9" s="98"/>
    </row>
    <row r="10" spans="1:7" ht="16" customHeight="1" x14ac:dyDescent="0.2">
      <c r="B10" s="13" t="s">
        <v>272</v>
      </c>
      <c r="C10" s="63">
        <f>Inputs!C27</f>
        <v>0.4</v>
      </c>
      <c r="D10" s="109" t="s">
        <v>273</v>
      </c>
      <c r="E10" s="98"/>
      <c r="F10" s="98"/>
    </row>
    <row r="11" spans="1:7" ht="16" customHeight="1" x14ac:dyDescent="0.2">
      <c r="B11" s="15" t="s">
        <v>36</v>
      </c>
      <c r="C11" s="64">
        <f>Inputs!C25</f>
        <v>4.4999999999999998E-2</v>
      </c>
      <c r="D11" s="111" t="s">
        <v>274</v>
      </c>
      <c r="E11" s="98"/>
      <c r="F11" s="98"/>
    </row>
    <row r="12" spans="1:7" ht="16" customHeight="1" x14ac:dyDescent="0.2">
      <c r="B12" s="14" t="s">
        <v>38</v>
      </c>
      <c r="C12" s="64">
        <f>Inputs!C26</f>
        <v>0.02</v>
      </c>
      <c r="D12" s="109" t="s">
        <v>275</v>
      </c>
      <c r="E12" s="98"/>
      <c r="F12" s="98"/>
    </row>
    <row r="13" spans="1:7" ht="16" customHeight="1" x14ac:dyDescent="0.2">
      <c r="B13" s="2" t="s">
        <v>276</v>
      </c>
      <c r="C13" s="65">
        <f>Inputs!C44</f>
        <v>6.5000000000000002E-2</v>
      </c>
      <c r="D13" s="111" t="s">
        <v>277</v>
      </c>
      <c r="E13" s="98"/>
      <c r="F13" s="98"/>
    </row>
    <row r="14" spans="1:7" ht="16" customHeight="1" x14ac:dyDescent="0.2">
      <c r="B14" s="13" t="s">
        <v>278</v>
      </c>
      <c r="C14" s="65">
        <f>Inputs!C45</f>
        <v>4.095E-2</v>
      </c>
      <c r="D14" s="109" t="s">
        <v>279</v>
      </c>
      <c r="E14" s="98"/>
      <c r="F14" s="98"/>
    </row>
    <row r="15" spans="1:7" ht="16" customHeight="1" x14ac:dyDescent="0.2">
      <c r="B15" s="15" t="s">
        <v>280</v>
      </c>
      <c r="C15" s="66" t="s">
        <v>281</v>
      </c>
      <c r="D15" s="111" t="s">
        <v>282</v>
      </c>
      <c r="E15" s="98"/>
      <c r="F15" s="98"/>
    </row>
    <row r="16" spans="1:7" ht="16" customHeight="1" x14ac:dyDescent="0.2">
      <c r="B16" s="14" t="s">
        <v>283</v>
      </c>
      <c r="C16" s="59" t="s">
        <v>284</v>
      </c>
      <c r="D16" s="109" t="s">
        <v>285</v>
      </c>
      <c r="E16" s="98"/>
      <c r="F16" s="98"/>
    </row>
    <row r="17" spans="2:6" ht="16" customHeight="1" x14ac:dyDescent="0.2">
      <c r="B17" s="2" t="s">
        <v>286</v>
      </c>
      <c r="C17" s="60">
        <f>Inputs!C46</f>
        <v>325000</v>
      </c>
      <c r="D17" s="111" t="s">
        <v>287</v>
      </c>
      <c r="E17" s="98"/>
      <c r="F17" s="98"/>
    </row>
    <row r="18" spans="2:6" ht="16" customHeight="1" x14ac:dyDescent="0.2">
      <c r="B18" s="13" t="s">
        <v>288</v>
      </c>
      <c r="C18" s="60">
        <f>Inputs!C47</f>
        <v>204750</v>
      </c>
      <c r="D18" s="109" t="s">
        <v>289</v>
      </c>
      <c r="E18" s="98"/>
      <c r="F18" s="98"/>
    </row>
    <row r="19" spans="2:6" ht="27" customHeight="1" x14ac:dyDescent="0.2">
      <c r="B19" s="15" t="s">
        <v>290</v>
      </c>
      <c r="C19" s="66" t="s">
        <v>291</v>
      </c>
      <c r="D19" s="111" t="s">
        <v>292</v>
      </c>
      <c r="E19" s="98"/>
      <c r="F19" s="98"/>
    </row>
    <row r="20" spans="2:6" ht="8" customHeight="1" x14ac:dyDescent="0.2"/>
    <row r="21" spans="2:6" ht="18" customHeight="1" x14ac:dyDescent="0.2">
      <c r="B21" s="99" t="s">
        <v>293</v>
      </c>
      <c r="C21" s="98"/>
      <c r="D21" s="98"/>
      <c r="E21" s="98"/>
      <c r="F21" s="98"/>
    </row>
    <row r="22" spans="2:6" ht="16" customHeight="1" x14ac:dyDescent="0.2">
      <c r="B22" s="1" t="s">
        <v>294</v>
      </c>
      <c r="C22" s="1" t="s">
        <v>295</v>
      </c>
      <c r="D22" s="1" t="s">
        <v>296</v>
      </c>
      <c r="E22" s="1" t="s">
        <v>297</v>
      </c>
      <c r="F22" s="1" t="s">
        <v>298</v>
      </c>
    </row>
    <row r="23" spans="2:6" ht="14" customHeight="1" x14ac:dyDescent="0.2">
      <c r="B23" s="15" t="s">
        <v>299</v>
      </c>
      <c r="C23" s="46">
        <f>Inputs!C23</f>
        <v>5000000</v>
      </c>
      <c r="D23" s="53">
        <f>Inputs!C23*Inputs!C44/12</f>
        <v>27083.333333333332</v>
      </c>
      <c r="E23" s="67">
        <v>0</v>
      </c>
      <c r="F23" s="46">
        <f>Inputs!C23</f>
        <v>5000000</v>
      </c>
    </row>
    <row r="24" spans="2:6" ht="14" customHeight="1" x14ac:dyDescent="0.2">
      <c r="B24" s="14" t="s">
        <v>300</v>
      </c>
      <c r="C24" s="46">
        <f>Inputs!C23</f>
        <v>5000000</v>
      </c>
      <c r="D24" s="53">
        <f>Inputs!C23*Inputs!C44/12</f>
        <v>27083.333333333332</v>
      </c>
      <c r="E24" s="68">
        <v>0</v>
      </c>
      <c r="F24" s="46">
        <f>Inputs!C23</f>
        <v>5000000</v>
      </c>
    </row>
    <row r="25" spans="2:6" ht="14" customHeight="1" x14ac:dyDescent="0.2">
      <c r="B25" s="15" t="s">
        <v>301</v>
      </c>
      <c r="C25" s="46">
        <f>Inputs!C23</f>
        <v>5000000</v>
      </c>
      <c r="D25" s="53">
        <f>Inputs!C23*Inputs!C44/12</f>
        <v>27083.333333333332</v>
      </c>
      <c r="E25" s="67">
        <v>0</v>
      </c>
      <c r="F25" s="46">
        <f>Inputs!C23</f>
        <v>5000000</v>
      </c>
    </row>
    <row r="26" spans="2:6" ht="14" customHeight="1" x14ac:dyDescent="0.2">
      <c r="B26" s="14" t="s">
        <v>302</v>
      </c>
      <c r="C26" s="46">
        <f>Inputs!C23</f>
        <v>5000000</v>
      </c>
      <c r="D26" s="53">
        <f>Inputs!C23*Inputs!C44/12</f>
        <v>27083.333333333332</v>
      </c>
      <c r="E26" s="68">
        <v>0</v>
      </c>
      <c r="F26" s="46">
        <f>Inputs!C23</f>
        <v>5000000</v>
      </c>
    </row>
    <row r="27" spans="2:6" ht="14" customHeight="1" x14ac:dyDescent="0.2">
      <c r="B27" s="15" t="s">
        <v>303</v>
      </c>
      <c r="C27" s="46">
        <f>Inputs!C23</f>
        <v>5000000</v>
      </c>
      <c r="D27" s="53">
        <f>Inputs!C23*Inputs!C44/12</f>
        <v>27083.333333333332</v>
      </c>
      <c r="E27" s="67">
        <v>0</v>
      </c>
      <c r="F27" s="46">
        <f>Inputs!C23</f>
        <v>5000000</v>
      </c>
    </row>
    <row r="28" spans="2:6" ht="14" customHeight="1" x14ac:dyDescent="0.2">
      <c r="B28" s="14" t="s">
        <v>304</v>
      </c>
      <c r="C28" s="46">
        <f>Inputs!C23</f>
        <v>5000000</v>
      </c>
      <c r="D28" s="53">
        <f>Inputs!C23*Inputs!C44/12</f>
        <v>27083.333333333332</v>
      </c>
      <c r="E28" s="68">
        <v>0</v>
      </c>
      <c r="F28" s="46">
        <f>Inputs!C23</f>
        <v>5000000</v>
      </c>
    </row>
    <row r="29" spans="2:6" ht="14" customHeight="1" x14ac:dyDescent="0.2">
      <c r="B29" s="15" t="s">
        <v>305</v>
      </c>
      <c r="C29" s="46">
        <f>Inputs!C23</f>
        <v>5000000</v>
      </c>
      <c r="D29" s="53">
        <f>Inputs!C23*Inputs!C44/12</f>
        <v>27083.333333333332</v>
      </c>
      <c r="E29" s="67">
        <v>0</v>
      </c>
      <c r="F29" s="46">
        <f>Inputs!C23</f>
        <v>5000000</v>
      </c>
    </row>
    <row r="30" spans="2:6" ht="14" customHeight="1" x14ac:dyDescent="0.2">
      <c r="B30" s="14" t="s">
        <v>306</v>
      </c>
      <c r="C30" s="46">
        <f>Inputs!C23</f>
        <v>5000000</v>
      </c>
      <c r="D30" s="53">
        <f>Inputs!C23*Inputs!C44/12</f>
        <v>27083.333333333332</v>
      </c>
      <c r="E30" s="68">
        <v>0</v>
      </c>
      <c r="F30" s="46">
        <f>Inputs!C23</f>
        <v>5000000</v>
      </c>
    </row>
    <row r="31" spans="2:6" ht="14" customHeight="1" x14ac:dyDescent="0.2">
      <c r="B31" s="15" t="s">
        <v>307</v>
      </c>
      <c r="C31" s="46">
        <f>Inputs!C23</f>
        <v>5000000</v>
      </c>
      <c r="D31" s="53">
        <f>Inputs!C23*Inputs!C44/12</f>
        <v>27083.333333333332</v>
      </c>
      <c r="E31" s="67">
        <v>0</v>
      </c>
      <c r="F31" s="46">
        <f>Inputs!C23</f>
        <v>5000000</v>
      </c>
    </row>
    <row r="32" spans="2:6" ht="14" customHeight="1" x14ac:dyDescent="0.2">
      <c r="B32" s="14" t="s">
        <v>308</v>
      </c>
      <c r="C32" s="46">
        <f>Inputs!C23</f>
        <v>5000000</v>
      </c>
      <c r="D32" s="53">
        <f>Inputs!C23*Inputs!C44/12</f>
        <v>27083.333333333332</v>
      </c>
      <c r="E32" s="68">
        <v>0</v>
      </c>
      <c r="F32" s="46">
        <f>Inputs!C23</f>
        <v>5000000</v>
      </c>
    </row>
    <row r="33" spans="2:6" ht="14" customHeight="1" x14ac:dyDescent="0.2">
      <c r="B33" s="15" t="s">
        <v>309</v>
      </c>
      <c r="C33" s="46">
        <f>Inputs!C23</f>
        <v>5000000</v>
      </c>
      <c r="D33" s="53">
        <f>Inputs!C23*Inputs!C44/12</f>
        <v>27083.333333333332</v>
      </c>
      <c r="E33" s="67">
        <v>0</v>
      </c>
      <c r="F33" s="46">
        <f>Inputs!C23</f>
        <v>5000000</v>
      </c>
    </row>
    <row r="34" spans="2:6" ht="14" customHeight="1" x14ac:dyDescent="0.2">
      <c r="B34" s="16" t="s">
        <v>310</v>
      </c>
      <c r="C34" s="69">
        <f>Inputs!C23</f>
        <v>5000000</v>
      </c>
      <c r="D34" s="49">
        <f>Inputs!C23*Inputs!C44/12</f>
        <v>27083.333333333332</v>
      </c>
      <c r="E34" s="70">
        <v>0</v>
      </c>
      <c r="F34" s="69">
        <f>Inputs!C23</f>
        <v>5000000</v>
      </c>
    </row>
    <row r="35" spans="2:6" ht="18" customHeight="1" x14ac:dyDescent="0.2">
      <c r="B35" s="40" t="s">
        <v>311</v>
      </c>
      <c r="C35" s="42">
        <f>Inputs!C23</f>
        <v>5000000</v>
      </c>
      <c r="D35" s="42">
        <f>SUM(D23:D34)</f>
        <v>325000</v>
      </c>
      <c r="E35" s="42">
        <v>0</v>
      </c>
      <c r="F35" s="42">
        <f>Inputs!C23</f>
        <v>5000000</v>
      </c>
    </row>
    <row r="37" spans="2:6" ht="18" customHeight="1" x14ac:dyDescent="0.2">
      <c r="B37" s="99" t="s">
        <v>312</v>
      </c>
      <c r="C37" s="98"/>
      <c r="D37" s="98"/>
      <c r="E37" s="98"/>
      <c r="F37" s="98"/>
    </row>
    <row r="38" spans="2:6" ht="16" customHeight="1" x14ac:dyDescent="0.2">
      <c r="B38" s="1" t="s">
        <v>313</v>
      </c>
      <c r="C38" s="1" t="s">
        <v>314</v>
      </c>
      <c r="D38" s="1" t="s">
        <v>315</v>
      </c>
      <c r="E38" s="1" t="s">
        <v>316</v>
      </c>
      <c r="F38" s="1" t="s">
        <v>317</v>
      </c>
    </row>
    <row r="39" spans="2:6" ht="15" customHeight="1" x14ac:dyDescent="0.2">
      <c r="B39" s="16" t="s">
        <v>318</v>
      </c>
      <c r="C39" s="18" t="s">
        <v>319</v>
      </c>
      <c r="D39" s="61">
        <f>Inputs!C24*(1-0)</f>
        <v>15000000</v>
      </c>
      <c r="E39" s="62">
        <f>Inputs!C23/(Inputs!C24*(1-0))</f>
        <v>0.33333333333333331</v>
      </c>
      <c r="F39" s="71" t="str">
        <f>IF(Inputs!C23/(Inputs!C24*(1-0))&gt;Inputs!C27,"YES","NO")</f>
        <v>NO</v>
      </c>
    </row>
    <row r="40" spans="2:6" ht="15" customHeight="1" x14ac:dyDescent="0.2">
      <c r="B40" s="10" t="s">
        <v>320</v>
      </c>
      <c r="C40" s="20" t="s">
        <v>321</v>
      </c>
      <c r="D40" s="61">
        <f>Inputs!C24*(1-0.1)</f>
        <v>13500000</v>
      </c>
      <c r="E40" s="62">
        <f>Inputs!C23/(Inputs!C24*(1-0.1))</f>
        <v>0.37037037037037035</v>
      </c>
      <c r="F40" s="71" t="str">
        <f>IF(Inputs!C23/(Inputs!C24*(1-0.1))&gt;Inputs!C27,"YES","NO")</f>
        <v>NO</v>
      </c>
    </row>
    <row r="41" spans="2:6" ht="15" customHeight="1" x14ac:dyDescent="0.2">
      <c r="B41" s="16" t="s">
        <v>322</v>
      </c>
      <c r="C41" s="17" t="s">
        <v>323</v>
      </c>
      <c r="D41" s="61">
        <f>Inputs!C24*(1-0.2)</f>
        <v>12000000</v>
      </c>
      <c r="E41" s="72">
        <f>Inputs!C23/(Inputs!C24*(1-0.2))</f>
        <v>0.41666666666666669</v>
      </c>
      <c r="F41" s="73" t="str">
        <f>IF(Inputs!C23/(Inputs!C24*(1-0.2))&gt;Inputs!C27,"YES","NO")</f>
        <v>YES</v>
      </c>
    </row>
    <row r="42" spans="2:6" ht="15" customHeight="1" x14ac:dyDescent="0.2">
      <c r="B42" s="10" t="s">
        <v>324</v>
      </c>
      <c r="C42" s="20" t="s">
        <v>325</v>
      </c>
      <c r="D42" s="61">
        <f>Inputs!C24*(1-0.3)</f>
        <v>10500000</v>
      </c>
      <c r="E42" s="72">
        <f>Inputs!C23/(Inputs!C24*(1-0.3))</f>
        <v>0.47619047619047616</v>
      </c>
      <c r="F42" s="73" t="str">
        <f>IF(Inputs!C23/(Inputs!C24*(1-0.3))&gt;Inputs!C27,"YES","NO")</f>
        <v>YES</v>
      </c>
    </row>
    <row r="43" spans="2:6" ht="15" customHeight="1" x14ac:dyDescent="0.2">
      <c r="B43" s="16" t="s">
        <v>326</v>
      </c>
      <c r="C43" s="17" t="s">
        <v>327</v>
      </c>
      <c r="D43" s="61">
        <f>Inputs!C24*(1-0.4)</f>
        <v>9000000</v>
      </c>
      <c r="E43" s="72">
        <f>Inputs!C23/(Inputs!C24*(1-0.4))</f>
        <v>0.55555555555555558</v>
      </c>
      <c r="F43" s="73" t="str">
        <f>IF(Inputs!C23/(Inputs!C24*(1-0.4))&gt;Inputs!C27,"YES","NO")</f>
        <v>YES</v>
      </c>
    </row>
    <row r="44" spans="2:6" ht="15" customHeight="1" x14ac:dyDescent="0.2">
      <c r="B44" s="10" t="s">
        <v>328</v>
      </c>
      <c r="C44" s="20" t="s">
        <v>329</v>
      </c>
      <c r="D44" s="61">
        <f>Inputs!C24*(1-0.5)</f>
        <v>7500000</v>
      </c>
      <c r="E44" s="72">
        <f>Inputs!C23/(Inputs!C24*(1-0.5))</f>
        <v>0.66666666666666663</v>
      </c>
      <c r="F44" s="73" t="str">
        <f>IF(Inputs!C23/(Inputs!C24*(1-0.5))&gt;Inputs!C27,"YES","NO")</f>
        <v>YES</v>
      </c>
    </row>
    <row r="45" spans="2:6" ht="8" customHeight="1" x14ac:dyDescent="0.2"/>
    <row r="46" spans="2:6" ht="28" customHeight="1" x14ac:dyDescent="0.2">
      <c r="B46" s="100" t="s">
        <v>330</v>
      </c>
      <c r="C46" s="98"/>
      <c r="D46" s="98"/>
      <c r="E46" s="98"/>
      <c r="F46" s="98"/>
    </row>
    <row r="48" spans="2:6" ht="18" customHeight="1" x14ac:dyDescent="0.2">
      <c r="B48" s="99" t="s">
        <v>331</v>
      </c>
      <c r="C48" s="98"/>
      <c r="D48" s="98"/>
      <c r="E48" s="98"/>
      <c r="F48" s="98"/>
    </row>
    <row r="49" spans="2:6" ht="16" customHeight="1" x14ac:dyDescent="0.2">
      <c r="B49" s="1" t="s">
        <v>332</v>
      </c>
      <c r="C49" s="1" t="s">
        <v>333</v>
      </c>
      <c r="D49" s="1" t="s">
        <v>334</v>
      </c>
      <c r="E49" s="105" t="s">
        <v>335</v>
      </c>
      <c r="F49" s="107"/>
    </row>
    <row r="50" spans="2:6" ht="16" customHeight="1" x14ac:dyDescent="0.2">
      <c r="B50" s="16" t="s">
        <v>336</v>
      </c>
      <c r="C50" s="74">
        <f>Inputs!C23*Inputs!C41</f>
        <v>1855000</v>
      </c>
      <c r="D50" s="59" t="s">
        <v>337</v>
      </c>
      <c r="E50" s="113" t="s">
        <v>338</v>
      </c>
      <c r="F50" s="98"/>
    </row>
    <row r="51" spans="2:6" ht="16" customHeight="1" x14ac:dyDescent="0.2">
      <c r="B51" s="10" t="s">
        <v>339</v>
      </c>
      <c r="C51" s="66" t="s">
        <v>337</v>
      </c>
      <c r="D51" s="75">
        <f>Inputs!C47</f>
        <v>204750</v>
      </c>
      <c r="E51" s="112" t="s">
        <v>340</v>
      </c>
      <c r="F51" s="98"/>
    </row>
    <row r="52" spans="2:6" ht="26" customHeight="1" x14ac:dyDescent="0.2">
      <c r="B52" s="16" t="s">
        <v>341</v>
      </c>
      <c r="C52" s="74">
        <f>Inputs!C23*(1-Inputs!C41)</f>
        <v>3145000</v>
      </c>
      <c r="D52" s="75">
        <f>Inputs!C23</f>
        <v>5000000</v>
      </c>
      <c r="E52" s="113" t="s">
        <v>342</v>
      </c>
      <c r="F52" s="98"/>
    </row>
    <row r="53" spans="2:6" ht="16" customHeight="1" x14ac:dyDescent="0.2">
      <c r="B53" s="10" t="s">
        <v>343</v>
      </c>
      <c r="C53" s="74">
        <f>Inputs!C6-Inputs!C23</f>
        <v>20000000</v>
      </c>
      <c r="D53" s="75">
        <f>Inputs!C6</f>
        <v>25000000</v>
      </c>
      <c r="E53" s="112" t="s">
        <v>344</v>
      </c>
      <c r="F53" s="98"/>
    </row>
    <row r="54" spans="2:6" ht="27" customHeight="1" x14ac:dyDescent="0.2">
      <c r="B54" s="16" t="s">
        <v>345</v>
      </c>
      <c r="C54" s="59" t="s">
        <v>346</v>
      </c>
      <c r="D54" s="75">
        <f>Inputs!C23*Inputs!C31</f>
        <v>490000</v>
      </c>
      <c r="E54" s="113" t="s">
        <v>347</v>
      </c>
      <c r="F54" s="98"/>
    </row>
    <row r="55" spans="2:6" ht="16" customHeight="1" x14ac:dyDescent="0.2">
      <c r="B55" s="10" t="s">
        <v>348</v>
      </c>
      <c r="C55" s="66" t="s">
        <v>346</v>
      </c>
      <c r="D55" s="75">
        <f>Inputs!C23*Inputs!C31-Inputs!C47</f>
        <v>285250</v>
      </c>
      <c r="E55" s="112" t="s">
        <v>349</v>
      </c>
      <c r="F55" s="98"/>
    </row>
    <row r="56" spans="2:6" ht="16" customHeight="1" x14ac:dyDescent="0.2">
      <c r="B56" s="16" t="s">
        <v>350</v>
      </c>
      <c r="C56" s="59" t="s">
        <v>346</v>
      </c>
      <c r="D56" s="18" t="s">
        <v>351</v>
      </c>
      <c r="E56" s="113" t="s">
        <v>352</v>
      </c>
      <c r="F56" s="98"/>
    </row>
    <row r="57" spans="2:6" ht="26" customHeight="1" x14ac:dyDescent="0.2">
      <c r="B57" s="10" t="s">
        <v>353</v>
      </c>
      <c r="C57" s="66" t="s">
        <v>346</v>
      </c>
      <c r="D57" s="21" t="s">
        <v>354</v>
      </c>
      <c r="E57" s="112" t="s">
        <v>355</v>
      </c>
      <c r="F57" s="98"/>
    </row>
    <row r="58" spans="2:6" ht="8" customHeight="1" x14ac:dyDescent="0.2"/>
    <row r="59" spans="2:6" ht="20" customHeight="1" x14ac:dyDescent="0.2">
      <c r="B59" s="100" t="s">
        <v>436</v>
      </c>
      <c r="C59" s="98"/>
      <c r="D59" s="98"/>
      <c r="E59" s="98"/>
      <c r="F59" s="98"/>
    </row>
  </sheetData>
  <mergeCells count="32">
    <mergeCell ref="B59:F59"/>
    <mergeCell ref="D17:F17"/>
    <mergeCell ref="B46:F46"/>
    <mergeCell ref="E52:F52"/>
    <mergeCell ref="D7:F7"/>
    <mergeCell ref="D16:F16"/>
    <mergeCell ref="B21:F21"/>
    <mergeCell ref="E51:F51"/>
    <mergeCell ref="B48:F48"/>
    <mergeCell ref="D12:F12"/>
    <mergeCell ref="D18:F18"/>
    <mergeCell ref="D9:F9"/>
    <mergeCell ref="D8:F8"/>
    <mergeCell ref="D15:F15"/>
    <mergeCell ref="E56:F56"/>
    <mergeCell ref="D14:F14"/>
    <mergeCell ref="A1:G1"/>
    <mergeCell ref="D5:F5"/>
    <mergeCell ref="E49:F49"/>
    <mergeCell ref="B37:F37"/>
    <mergeCell ref="D10:F10"/>
    <mergeCell ref="B4:F4"/>
    <mergeCell ref="D11:F11"/>
    <mergeCell ref="D13:F13"/>
    <mergeCell ref="E57:F57"/>
    <mergeCell ref="D19:F19"/>
    <mergeCell ref="E54:F54"/>
    <mergeCell ref="A2:G2"/>
    <mergeCell ref="E53:F53"/>
    <mergeCell ref="D6:F6"/>
    <mergeCell ref="E50:F50"/>
    <mergeCell ref="E55:F5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</sheetPr>
  <dimension ref="A1:H47"/>
  <sheetViews>
    <sheetView showGridLines="0" topLeftCell="A5" workbookViewId="0">
      <selection activeCell="F51" sqref="F51"/>
    </sheetView>
  </sheetViews>
  <sheetFormatPr baseColWidth="10" defaultColWidth="8.83203125" defaultRowHeight="15" x14ac:dyDescent="0.2"/>
  <cols>
    <col min="1" max="1" width="3" customWidth="1"/>
    <col min="2" max="2" width="20" customWidth="1"/>
    <col min="3" max="3" width="14" customWidth="1"/>
    <col min="4" max="6" width="18" customWidth="1"/>
    <col min="7" max="7" width="20" customWidth="1"/>
    <col min="8" max="8" width="3" customWidth="1"/>
  </cols>
  <sheetData>
    <row r="1" spans="1:8" ht="30" customHeight="1" x14ac:dyDescent="0.2">
      <c r="A1" s="101" t="s">
        <v>356</v>
      </c>
      <c r="B1" s="98"/>
      <c r="C1" s="98"/>
      <c r="D1" s="98"/>
      <c r="E1" s="98"/>
      <c r="F1" s="98"/>
      <c r="G1" s="98"/>
      <c r="H1" s="98"/>
    </row>
    <row r="2" spans="1:8" ht="18" customHeight="1" x14ac:dyDescent="0.2">
      <c r="A2" s="97" t="s">
        <v>357</v>
      </c>
      <c r="B2" s="98"/>
      <c r="C2" s="98"/>
      <c r="D2" s="98"/>
      <c r="E2" s="98"/>
      <c r="F2" s="98"/>
      <c r="G2" s="98"/>
      <c r="H2" s="98"/>
    </row>
    <row r="3" spans="1:8" ht="8" customHeight="1" x14ac:dyDescent="0.2"/>
    <row r="4" spans="1:8" ht="18" customHeight="1" x14ac:dyDescent="0.2">
      <c r="B4" s="99" t="s">
        <v>358</v>
      </c>
      <c r="C4" s="98"/>
      <c r="D4" s="98"/>
      <c r="E4" s="98"/>
      <c r="F4" s="98"/>
      <c r="G4" s="98"/>
    </row>
    <row r="5" spans="1:8" ht="16" customHeight="1" x14ac:dyDescent="0.2">
      <c r="B5" s="1" t="s">
        <v>262</v>
      </c>
      <c r="C5" s="1" t="s">
        <v>359</v>
      </c>
      <c r="D5" s="1" t="s">
        <v>318</v>
      </c>
      <c r="E5" s="1" t="s">
        <v>360</v>
      </c>
      <c r="F5" s="105" t="s">
        <v>218</v>
      </c>
      <c r="G5" s="107"/>
    </row>
    <row r="6" spans="1:8" ht="16" customHeight="1" x14ac:dyDescent="0.2">
      <c r="B6" s="16" t="s">
        <v>361</v>
      </c>
      <c r="C6" s="74">
        <f>Inputs!C48</f>
        <v>18986500</v>
      </c>
      <c r="D6" s="76">
        <f>Inputs!C48</f>
        <v>18986500</v>
      </c>
      <c r="E6" s="75">
        <f>Inputs!C48</f>
        <v>18986500</v>
      </c>
      <c r="F6" s="109" t="s">
        <v>362</v>
      </c>
      <c r="G6" s="98"/>
    </row>
    <row r="7" spans="1:8" ht="30" x14ac:dyDescent="0.2">
      <c r="B7" s="10" t="s">
        <v>363</v>
      </c>
      <c r="C7" s="77">
        <f>Inputs!C30</f>
        <v>0.05</v>
      </c>
      <c r="D7" s="78">
        <f>Inputs!C31</f>
        <v>9.8000000000000004E-2</v>
      </c>
      <c r="E7" s="79">
        <f>Inputs!C32</f>
        <v>0.13500000000000001</v>
      </c>
      <c r="F7" s="111" t="s">
        <v>364</v>
      </c>
      <c r="G7" s="98"/>
    </row>
    <row r="8" spans="1:8" x14ac:dyDescent="0.2">
      <c r="B8" s="16" t="s">
        <v>49</v>
      </c>
      <c r="C8" s="77">
        <f>Inputs!C33</f>
        <v>0.02</v>
      </c>
      <c r="D8" s="78">
        <f>Inputs!C33</f>
        <v>0.02</v>
      </c>
      <c r="E8" s="79">
        <f>Inputs!C33</f>
        <v>0.02</v>
      </c>
      <c r="F8" s="109" t="s">
        <v>365</v>
      </c>
      <c r="G8" s="98"/>
    </row>
    <row r="9" spans="1:8" ht="26" customHeight="1" x14ac:dyDescent="0.2">
      <c r="B9" s="10" t="s">
        <v>366</v>
      </c>
      <c r="C9" s="77">
        <f>Inputs!C49</f>
        <v>3.0000000000000002E-2</v>
      </c>
      <c r="D9" s="78">
        <f>Inputs!C50</f>
        <v>7.8E-2</v>
      </c>
      <c r="E9" s="79">
        <f>Inputs!C51</f>
        <v>0.115</v>
      </c>
      <c r="F9" s="111" t="s">
        <v>367</v>
      </c>
      <c r="G9" s="98"/>
    </row>
    <row r="10" spans="1:8" ht="16" customHeight="1" x14ac:dyDescent="0.2">
      <c r="B10" s="16" t="s">
        <v>368</v>
      </c>
      <c r="C10" s="17" t="s">
        <v>369</v>
      </c>
      <c r="D10" s="80" t="s">
        <v>369</v>
      </c>
      <c r="E10" s="18" t="s">
        <v>369</v>
      </c>
      <c r="F10" s="109" t="s">
        <v>370</v>
      </c>
      <c r="G10" s="98"/>
    </row>
    <row r="11" spans="1:8" ht="16" customHeight="1" x14ac:dyDescent="0.2">
      <c r="B11" s="10" t="s">
        <v>54</v>
      </c>
      <c r="C11" s="74">
        <f>Inputs!C35</f>
        <v>10000000</v>
      </c>
      <c r="D11" s="76">
        <f>Inputs!C35</f>
        <v>10000000</v>
      </c>
      <c r="E11" s="75">
        <f>Inputs!C35</f>
        <v>10000000</v>
      </c>
      <c r="F11" s="111" t="s">
        <v>371</v>
      </c>
      <c r="G11" s="98"/>
    </row>
    <row r="12" spans="1:8" ht="25" customHeight="1" x14ac:dyDescent="0.2">
      <c r="B12" s="16" t="s">
        <v>372</v>
      </c>
      <c r="C12" s="17" t="s">
        <v>373</v>
      </c>
      <c r="D12" s="80" t="s">
        <v>373</v>
      </c>
      <c r="E12" s="18" t="s">
        <v>373</v>
      </c>
      <c r="F12" s="109" t="s">
        <v>374</v>
      </c>
      <c r="G12" s="98"/>
    </row>
    <row r="13" spans="1:8" ht="26" customHeight="1" x14ac:dyDescent="0.2">
      <c r="B13" s="10" t="s">
        <v>375</v>
      </c>
      <c r="C13" s="74">
        <f>Inputs!C47</f>
        <v>204750</v>
      </c>
      <c r="D13" s="76">
        <f>Inputs!C47</f>
        <v>204750</v>
      </c>
      <c r="E13" s="75">
        <f>Inputs!C47</f>
        <v>204750</v>
      </c>
      <c r="F13" s="111" t="s">
        <v>376</v>
      </c>
      <c r="G13" s="98"/>
    </row>
    <row r="14" spans="1:8" ht="8" customHeight="1" x14ac:dyDescent="0.2"/>
    <row r="15" spans="1:8" ht="18" customHeight="1" x14ac:dyDescent="0.2">
      <c r="B15" s="99" t="s">
        <v>377</v>
      </c>
      <c r="C15" s="98"/>
      <c r="D15" s="98"/>
      <c r="E15" s="98"/>
      <c r="F15" s="98"/>
      <c r="G15" s="98"/>
    </row>
    <row r="16" spans="1:8" ht="28" customHeight="1" x14ac:dyDescent="0.2">
      <c r="B16" s="1" t="s">
        <v>378</v>
      </c>
      <c r="C16" s="1" t="s">
        <v>379</v>
      </c>
      <c r="D16" s="1" t="s">
        <v>380</v>
      </c>
      <c r="E16" s="1" t="s">
        <v>381</v>
      </c>
      <c r="F16" s="1" t="s">
        <v>382</v>
      </c>
      <c r="G16" s="1" t="s">
        <v>383</v>
      </c>
    </row>
    <row r="17" spans="2:7" ht="14" customHeight="1" x14ac:dyDescent="0.2">
      <c r="B17" s="15" t="s">
        <v>384</v>
      </c>
      <c r="C17" s="66">
        <v>2027</v>
      </c>
      <c r="D17" s="46">
        <f>Inputs!C48*(1+Inputs!C49)</f>
        <v>19556095</v>
      </c>
      <c r="E17" s="46">
        <f>Inputs!C48*(1+Inputs!C50)</f>
        <v>20467447</v>
      </c>
      <c r="F17" s="46">
        <f>Inputs!C48*(1+Inputs!C51)</f>
        <v>21169947.5</v>
      </c>
      <c r="G17" s="81" t="s">
        <v>385</v>
      </c>
    </row>
    <row r="18" spans="2:7" ht="14" customHeight="1" x14ac:dyDescent="0.2">
      <c r="B18" s="14" t="s">
        <v>386</v>
      </c>
      <c r="C18" s="59">
        <v>2028</v>
      </c>
      <c r="D18" s="46">
        <f>D17*(1+Inputs!C49)</f>
        <v>20142777.850000001</v>
      </c>
      <c r="E18" s="46">
        <f>E17*(1+Inputs!C50)</f>
        <v>22063907.866</v>
      </c>
      <c r="F18" s="46">
        <f>F17*(1+Inputs!C51)</f>
        <v>23604491.462499999</v>
      </c>
      <c r="G18" s="82"/>
    </row>
    <row r="19" spans="2:7" ht="14" customHeight="1" x14ac:dyDescent="0.2">
      <c r="B19" s="15" t="s">
        <v>387</v>
      </c>
      <c r="C19" s="66">
        <v>2029</v>
      </c>
      <c r="D19" s="46">
        <f>D18*(1+Inputs!C49)</f>
        <v>20747061.185500003</v>
      </c>
      <c r="E19" s="46">
        <f>E18*(1+Inputs!C50)</f>
        <v>23784892.679548003</v>
      </c>
      <c r="F19" s="46">
        <f>F18*(1+Inputs!C51)</f>
        <v>26319007.980687499</v>
      </c>
      <c r="G19" s="83"/>
    </row>
    <row r="20" spans="2:7" ht="14" customHeight="1" x14ac:dyDescent="0.2">
      <c r="B20" s="14" t="s">
        <v>388</v>
      </c>
      <c r="C20" s="59">
        <v>2030</v>
      </c>
      <c r="D20" s="46">
        <f>D19*(1+Inputs!C49)</f>
        <v>21369473.021065004</v>
      </c>
      <c r="E20" s="46">
        <f>E19*(1+Inputs!C50)</f>
        <v>25640114.308552749</v>
      </c>
      <c r="F20" s="46">
        <f>F19*(1+Inputs!C51)</f>
        <v>29345693.898466561</v>
      </c>
      <c r="G20" s="82"/>
    </row>
    <row r="21" spans="2:7" ht="14" customHeight="1" x14ac:dyDescent="0.2">
      <c r="B21" s="10" t="s">
        <v>389</v>
      </c>
      <c r="C21" s="84">
        <v>2031</v>
      </c>
      <c r="D21" s="49">
        <f>D20*(1+Inputs!C49)</f>
        <v>22010557.211696956</v>
      </c>
      <c r="E21" s="85">
        <f>E20*(1+Inputs!C50)</f>
        <v>27640043.224619865</v>
      </c>
      <c r="F21" s="54">
        <f>F20*(1+Inputs!C51)</f>
        <v>32720448.696790215</v>
      </c>
      <c r="G21" s="86" t="s">
        <v>390</v>
      </c>
    </row>
    <row r="22" spans="2:7" ht="14" customHeight="1" x14ac:dyDescent="0.2">
      <c r="B22" s="14" t="s">
        <v>391</v>
      </c>
      <c r="C22" s="59">
        <v>2032</v>
      </c>
      <c r="D22" s="46">
        <f>D21*(1+Inputs!C49)</f>
        <v>22670873.928047866</v>
      </c>
      <c r="E22" s="46">
        <f>E21*(1+Inputs!C50)</f>
        <v>29795966.596140217</v>
      </c>
      <c r="F22" s="46">
        <f>F21*(1+Inputs!C51)</f>
        <v>36483300.296921089</v>
      </c>
      <c r="G22" s="82"/>
    </row>
    <row r="23" spans="2:7" ht="14" customHeight="1" x14ac:dyDescent="0.2">
      <c r="B23" s="15" t="s">
        <v>392</v>
      </c>
      <c r="C23" s="66">
        <v>2033</v>
      </c>
      <c r="D23" s="46">
        <f>D22*(1+Inputs!C49)</f>
        <v>23351000.145889301</v>
      </c>
      <c r="E23" s="46">
        <f>E22*(1+Inputs!C50)</f>
        <v>32120051.990639158</v>
      </c>
      <c r="F23" s="46">
        <f>F22*(1+Inputs!C51)</f>
        <v>40678879.831067011</v>
      </c>
      <c r="G23" s="83"/>
    </row>
    <row r="24" spans="2:7" ht="14" customHeight="1" x14ac:dyDescent="0.2">
      <c r="B24" s="14" t="s">
        <v>393</v>
      </c>
      <c r="C24" s="59">
        <v>2034</v>
      </c>
      <c r="D24" s="46">
        <f>D23*(1+Inputs!C49)</f>
        <v>24051530.150265981</v>
      </c>
      <c r="E24" s="46">
        <f>E23*(1+Inputs!C50)</f>
        <v>34625416.045909017</v>
      </c>
      <c r="F24" s="46">
        <f>F23*(1+Inputs!C51)</f>
        <v>45356951.011639714</v>
      </c>
      <c r="G24" s="82"/>
    </row>
    <row r="25" spans="2:7" ht="14" customHeight="1" x14ac:dyDescent="0.2">
      <c r="B25" s="15" t="s">
        <v>394</v>
      </c>
      <c r="C25" s="66">
        <v>2035</v>
      </c>
      <c r="D25" s="46">
        <f>D24*(1+Inputs!C49)</f>
        <v>24773076.05477396</v>
      </c>
      <c r="E25" s="46">
        <f>E24*(1+Inputs!C50)</f>
        <v>37326198.497489922</v>
      </c>
      <c r="F25" s="46">
        <f>F24*(1+Inputs!C51)</f>
        <v>50573000.37797828</v>
      </c>
      <c r="G25" s="83"/>
    </row>
    <row r="26" spans="2:7" ht="14" customHeight="1" x14ac:dyDescent="0.2">
      <c r="B26" s="16" t="s">
        <v>395</v>
      </c>
      <c r="C26" s="87">
        <v>2036</v>
      </c>
      <c r="D26" s="49">
        <f>D25*(1+Inputs!C49)</f>
        <v>25516268.33641718</v>
      </c>
      <c r="E26" s="85">
        <f>E25*(1+Inputs!C50)</f>
        <v>40237641.980294138</v>
      </c>
      <c r="F26" s="54">
        <f>F25*(1+Inputs!C51)</f>
        <v>56388895.42144578</v>
      </c>
      <c r="G26" s="88" t="s">
        <v>396</v>
      </c>
    </row>
    <row r="27" spans="2:7" ht="14" customHeight="1" x14ac:dyDescent="0.2">
      <c r="B27" s="15" t="s">
        <v>397</v>
      </c>
      <c r="C27" s="66">
        <v>2037</v>
      </c>
      <c r="D27" s="46">
        <f>D26*(1+Inputs!C49)</f>
        <v>26281756.386509694</v>
      </c>
      <c r="E27" s="46">
        <f>E26*(1+Inputs!C50)</f>
        <v>43376178.054757081</v>
      </c>
      <c r="F27" s="46">
        <f>F26*(1+Inputs!C51)</f>
        <v>62873618.394912042</v>
      </c>
      <c r="G27" s="83"/>
    </row>
    <row r="28" spans="2:7" ht="14" customHeight="1" x14ac:dyDescent="0.2">
      <c r="B28" s="14" t="s">
        <v>398</v>
      </c>
      <c r="C28" s="59">
        <v>2038</v>
      </c>
      <c r="D28" s="46">
        <f>D27*(1+Inputs!C49)</f>
        <v>27070209.078104984</v>
      </c>
      <c r="E28" s="46">
        <f>E27*(1+Inputs!C50)</f>
        <v>46759519.943028137</v>
      </c>
      <c r="F28" s="46">
        <f>F27*(1+Inputs!C51)</f>
        <v>70104084.510326922</v>
      </c>
      <c r="G28" s="82"/>
    </row>
    <row r="29" spans="2:7" ht="14" customHeight="1" x14ac:dyDescent="0.2">
      <c r="B29" s="15" t="s">
        <v>399</v>
      </c>
      <c r="C29" s="66">
        <v>2039</v>
      </c>
      <c r="D29" s="46">
        <f>D28*(1+Inputs!C49)</f>
        <v>27882315.350448135</v>
      </c>
      <c r="E29" s="46">
        <f>E28*(1+Inputs!C50)</f>
        <v>50406762.498584338</v>
      </c>
      <c r="F29" s="46">
        <f>F28*(1+Inputs!C51)</f>
        <v>78166054.229014516</v>
      </c>
      <c r="G29" s="83"/>
    </row>
    <row r="30" spans="2:7" ht="14" customHeight="1" x14ac:dyDescent="0.2">
      <c r="B30" s="14" t="s">
        <v>400</v>
      </c>
      <c r="C30" s="59">
        <v>2040</v>
      </c>
      <c r="D30" s="46">
        <f>D29*(1+Inputs!C49)</f>
        <v>28718784.810961582</v>
      </c>
      <c r="E30" s="46">
        <f>E29*(1+Inputs!C50)</f>
        <v>54338489.973473921</v>
      </c>
      <c r="F30" s="46">
        <f>F29*(1+Inputs!C51)</f>
        <v>87155150.465351179</v>
      </c>
      <c r="G30" s="82"/>
    </row>
    <row r="31" spans="2:7" ht="14" customHeight="1" x14ac:dyDescent="0.2">
      <c r="B31" s="10" t="s">
        <v>401</v>
      </c>
      <c r="C31" s="84">
        <v>2041</v>
      </c>
      <c r="D31" s="49">
        <f>D30*(1+Inputs!C49)</f>
        <v>29580348.355290432</v>
      </c>
      <c r="E31" s="85">
        <f>E30*(1+Inputs!C50)</f>
        <v>58576892.191404894</v>
      </c>
      <c r="F31" s="54">
        <f>F30*(1+Inputs!C51)</f>
        <v>97177992.768866569</v>
      </c>
      <c r="G31" s="86" t="s">
        <v>402</v>
      </c>
    </row>
    <row r="32" spans="2:7" ht="14" customHeight="1" x14ac:dyDescent="0.2">
      <c r="B32" s="14" t="s">
        <v>403</v>
      </c>
      <c r="C32" s="59">
        <v>2042</v>
      </c>
      <c r="D32" s="46">
        <f>D31*(1+Inputs!C49)</f>
        <v>30467758.805949144</v>
      </c>
      <c r="E32" s="46">
        <f>E31*(1+Inputs!C50)</f>
        <v>63145889.782334477</v>
      </c>
      <c r="F32" s="46">
        <f>F31*(1+Inputs!C51)</f>
        <v>108353461.93728623</v>
      </c>
      <c r="G32" s="82"/>
    </row>
    <row r="33" spans="2:7" ht="14" customHeight="1" x14ac:dyDescent="0.2">
      <c r="B33" s="15" t="s">
        <v>404</v>
      </c>
      <c r="C33" s="66">
        <v>2043</v>
      </c>
      <c r="D33" s="46">
        <f>D32*(1+Inputs!C49)</f>
        <v>31381791.570127618</v>
      </c>
      <c r="E33" s="46">
        <f>E32*(1+Inputs!C50)</f>
        <v>68071269.185356572</v>
      </c>
      <c r="F33" s="46">
        <f>F32*(1+Inputs!C51)</f>
        <v>120814110.06007415</v>
      </c>
      <c r="G33" s="83"/>
    </row>
    <row r="34" spans="2:7" ht="14" customHeight="1" x14ac:dyDescent="0.2">
      <c r="B34" s="14" t="s">
        <v>405</v>
      </c>
      <c r="C34" s="59">
        <v>2044</v>
      </c>
      <c r="D34" s="46">
        <f>D33*(1+Inputs!C49)</f>
        <v>32323245.317231447</v>
      </c>
      <c r="E34" s="46">
        <f>E33*(1+Inputs!C50)</f>
        <v>73380828.181814387</v>
      </c>
      <c r="F34" s="46">
        <f>F33*(1+Inputs!C51)</f>
        <v>134707732.71698266</v>
      </c>
      <c r="G34" s="82"/>
    </row>
    <row r="35" spans="2:7" ht="14" customHeight="1" x14ac:dyDescent="0.2">
      <c r="B35" s="15" t="s">
        <v>406</v>
      </c>
      <c r="C35" s="66">
        <v>2045</v>
      </c>
      <c r="D35" s="46">
        <f>D34*(1+Inputs!C49)</f>
        <v>33292942.676748391</v>
      </c>
      <c r="E35" s="46">
        <f>E34*(1+Inputs!C50)</f>
        <v>79104532.779995918</v>
      </c>
      <c r="F35" s="46">
        <f>F34*(1+Inputs!C51)</f>
        <v>150199121.97943568</v>
      </c>
      <c r="G35" s="83"/>
    </row>
    <row r="36" spans="2:7" ht="14" customHeight="1" x14ac:dyDescent="0.2">
      <c r="B36" s="16" t="s">
        <v>407</v>
      </c>
      <c r="C36" s="87">
        <v>2046</v>
      </c>
      <c r="D36" s="49">
        <f>D35*(1+Inputs!C49)</f>
        <v>34291730.957050845</v>
      </c>
      <c r="E36" s="85">
        <f>E35*(1+Inputs!C50)</f>
        <v>85274686.336835608</v>
      </c>
      <c r="F36" s="54">
        <f>F35*(1+Inputs!C51)</f>
        <v>167472021.00707078</v>
      </c>
      <c r="G36" s="88" t="s">
        <v>408</v>
      </c>
    </row>
    <row r="37" spans="2:7" ht="20" customHeight="1" x14ac:dyDescent="0.2">
      <c r="B37" s="40" t="s">
        <v>409</v>
      </c>
      <c r="C37" s="89">
        <v>2046</v>
      </c>
      <c r="D37" s="42">
        <f>D36</f>
        <v>34291730.957050845</v>
      </c>
      <c r="E37" s="42">
        <f>E36</f>
        <v>85274686.336835608</v>
      </c>
      <c r="F37" s="42">
        <f>F36</f>
        <v>167472021.00707078</v>
      </c>
      <c r="G37" s="40" t="s">
        <v>410</v>
      </c>
    </row>
    <row r="39" spans="2:7" ht="18" customHeight="1" x14ac:dyDescent="0.2">
      <c r="B39" s="99" t="s">
        <v>411</v>
      </c>
      <c r="C39" s="98"/>
      <c r="D39" s="98"/>
      <c r="E39" s="98"/>
      <c r="F39" s="98"/>
      <c r="G39" s="98"/>
    </row>
    <row r="40" spans="2:7" ht="16" customHeight="1" x14ac:dyDescent="0.2">
      <c r="B40" s="1" t="s">
        <v>383</v>
      </c>
      <c r="C40" s="1" t="s">
        <v>378</v>
      </c>
      <c r="D40" s="1" t="s">
        <v>412</v>
      </c>
      <c r="E40" s="1" t="s">
        <v>413</v>
      </c>
      <c r="F40" s="1" t="s">
        <v>414</v>
      </c>
      <c r="G40" s="1" t="s">
        <v>218</v>
      </c>
    </row>
    <row r="41" spans="2:7" ht="40" customHeight="1" x14ac:dyDescent="0.2">
      <c r="B41" s="90" t="s">
        <v>415</v>
      </c>
      <c r="C41" s="59" t="s">
        <v>416</v>
      </c>
      <c r="D41" s="46">
        <f>Inputs!C23</f>
        <v>5000000</v>
      </c>
      <c r="E41" s="91">
        <v>0</v>
      </c>
      <c r="F41" s="92" t="s">
        <v>417</v>
      </c>
      <c r="G41" s="47" t="s">
        <v>418</v>
      </c>
    </row>
    <row r="42" spans="2:7" ht="39" x14ac:dyDescent="0.2">
      <c r="B42" s="93" t="s">
        <v>419</v>
      </c>
      <c r="C42" s="66" t="s">
        <v>420</v>
      </c>
      <c r="D42" s="46">
        <f>Inputs!C23*(1+(Inputs!C36-Inputs!C37))^5+Inputs!C38*((1+(Inputs!C36-Inputs!C37))^5-1)/(Inputs!C36-Inputs!C37)</f>
        <v>6028978.8702187473</v>
      </c>
      <c r="E42" s="46">
        <f>Inputs!C23*Inputs!C37*5</f>
        <v>1250000</v>
      </c>
      <c r="F42" s="94" t="s">
        <v>421</v>
      </c>
      <c r="G42" s="48" t="s">
        <v>422</v>
      </c>
    </row>
    <row r="43" spans="2:7" ht="26" x14ac:dyDescent="0.2">
      <c r="B43" s="90" t="s">
        <v>423</v>
      </c>
      <c r="C43" s="59" t="s">
        <v>395</v>
      </c>
      <c r="D43" s="46">
        <f>Inputs!C23*(1+(Inputs!C36-Inputs!C37))^10+Inputs!C38*((1+(Inputs!C36-Inputs!C37))^10-1)/(Inputs!C36-Inputs!C37)</f>
        <v>7193174.0148751549</v>
      </c>
      <c r="E43" s="46">
        <f>Inputs!C23*Inputs!C37*10</f>
        <v>2500000</v>
      </c>
      <c r="F43" s="92" t="s">
        <v>421</v>
      </c>
      <c r="G43" s="47" t="s">
        <v>424</v>
      </c>
    </row>
    <row r="44" spans="2:7" ht="26" x14ac:dyDescent="0.2">
      <c r="B44" s="95" t="s">
        <v>425</v>
      </c>
      <c r="C44" s="66" t="s">
        <v>395</v>
      </c>
      <c r="D44" s="54">
        <f>Inputs!C23*(1+(Inputs!C36-Inputs!C37))^10+Inputs!C38*((1+(Inputs!C36-Inputs!C37))^10-1)/(Inputs!C36-Inputs!C37)</f>
        <v>7193174.0148751549</v>
      </c>
      <c r="E44" s="54">
        <f>Inputs!C23*Inputs!C37*10</f>
        <v>2500000</v>
      </c>
      <c r="F44" s="22" t="s">
        <v>426</v>
      </c>
      <c r="G44" s="48" t="s">
        <v>427</v>
      </c>
    </row>
    <row r="45" spans="2:7" ht="39" x14ac:dyDescent="0.2">
      <c r="B45" s="96" t="s">
        <v>428</v>
      </c>
      <c r="C45" s="59" t="s">
        <v>407</v>
      </c>
      <c r="D45" s="54">
        <f>Inputs!C23*(1+(Inputs!C36-Inputs!C37))^20+Inputs!C38*((1+(Inputs!C36-Inputs!C37))^20-1)/(Inputs!C36-Inputs!C37)</f>
        <v>10000622.174049914</v>
      </c>
      <c r="E45" s="54">
        <f>Inputs!C23*Inputs!C37*20</f>
        <v>5000000</v>
      </c>
      <c r="F45" s="19" t="s">
        <v>429</v>
      </c>
      <c r="G45" s="47" t="s">
        <v>430</v>
      </c>
    </row>
    <row r="46" spans="2:7" ht="8" customHeight="1" x14ac:dyDescent="0.2"/>
    <row r="47" spans="2:7" ht="26" customHeight="1" x14ac:dyDescent="0.2">
      <c r="B47" s="100" t="s">
        <v>437</v>
      </c>
      <c r="C47" s="98"/>
      <c r="D47" s="98"/>
      <c r="E47" s="98"/>
      <c r="F47" s="98"/>
      <c r="G47" s="98"/>
    </row>
  </sheetData>
  <mergeCells count="15">
    <mergeCell ref="B47:G47"/>
    <mergeCell ref="F11:G11"/>
    <mergeCell ref="F12:G12"/>
    <mergeCell ref="B39:G39"/>
    <mergeCell ref="F10:G10"/>
    <mergeCell ref="A1:H1"/>
    <mergeCell ref="B15:G15"/>
    <mergeCell ref="F9:G9"/>
    <mergeCell ref="F7:G7"/>
    <mergeCell ref="F8:G8"/>
    <mergeCell ref="A2:H2"/>
    <mergeCell ref="F5:G5"/>
    <mergeCell ref="B4:G4"/>
    <mergeCell ref="F6:G6"/>
    <mergeCell ref="F13:G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Inputs</vt:lpstr>
      <vt:lpstr>Overview</vt:lpstr>
      <vt:lpstr>Portfolio Transition</vt:lpstr>
      <vt:lpstr>Tax Analysis</vt:lpstr>
      <vt:lpstr>SBL Credit</vt:lpstr>
      <vt:lpstr>Goals Planning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Mario Mercado</cp:lastModifiedBy>
  <dcterms:created xsi:type="dcterms:W3CDTF">2026-02-19T17:04:37Z</dcterms:created>
  <dcterms:modified xsi:type="dcterms:W3CDTF">2026-02-19T19:49:02Z</dcterms:modified>
</cp:coreProperties>
</file>