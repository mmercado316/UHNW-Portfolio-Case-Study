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ario/jpmproject/"/>
    </mc:Choice>
  </mc:AlternateContent>
  <xr:revisionPtr revIDLastSave="0" documentId="13_ncr:1_{FDD284E2-5E9B-AE4D-8D90-CC1F7B7E65D3}" xr6:coauthVersionLast="47" xr6:coauthVersionMax="47" xr10:uidLastSave="{00000000-0000-0000-0000-000000000000}"/>
  <bookViews>
    <workbookView xWindow="30160" yWindow="-3000" windowWidth="33500" windowHeight="19020" xr2:uid="{00000000-000D-0000-FFFF-FFFF00000000}"/>
  </bookViews>
  <sheets>
    <sheet name="Inputs" sheetId="1" r:id="rId1"/>
    <sheet name="Overview" sheetId="2" r:id="rId2"/>
    <sheet name="Portfolio Transition" sheetId="3" r:id="rId3"/>
    <sheet name="Tax Analysis" sheetId="4" r:id="rId4"/>
    <sheet name="SBL Credit" sheetId="5" r:id="rId5"/>
    <sheet name="Goals Planning"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6" l="1"/>
  <c r="D45" i="6"/>
  <c r="E44" i="6"/>
  <c r="D44" i="6"/>
  <c r="E43" i="6"/>
  <c r="D43" i="6"/>
  <c r="E42" i="6"/>
  <c r="D42" i="6"/>
  <c r="D41" i="6"/>
  <c r="E11" i="6"/>
  <c r="D11" i="6"/>
  <c r="C11" i="6"/>
  <c r="E8" i="6"/>
  <c r="D8" i="6"/>
  <c r="C8" i="6"/>
  <c r="E7" i="6"/>
  <c r="D7" i="6"/>
  <c r="C7" i="6"/>
  <c r="D54" i="5"/>
  <c r="D53" i="5"/>
  <c r="C53" i="5"/>
  <c r="D52" i="5"/>
  <c r="F44" i="5"/>
  <c r="E44" i="5"/>
  <c r="D44" i="5"/>
  <c r="F43" i="5"/>
  <c r="E43" i="5"/>
  <c r="D43" i="5"/>
  <c r="F42" i="5"/>
  <c r="E42" i="5"/>
  <c r="D42" i="5"/>
  <c r="F41" i="5"/>
  <c r="E41" i="5"/>
  <c r="D41" i="5"/>
  <c r="F40" i="5"/>
  <c r="E40" i="5"/>
  <c r="D40" i="5"/>
  <c r="F39" i="5"/>
  <c r="E39" i="5"/>
  <c r="D39" i="5"/>
  <c r="F35" i="5"/>
  <c r="C35" i="5"/>
  <c r="F34" i="5"/>
  <c r="C34" i="5"/>
  <c r="F33" i="5"/>
  <c r="C33" i="5"/>
  <c r="F32" i="5"/>
  <c r="C32" i="5"/>
  <c r="F31" i="5"/>
  <c r="C31" i="5"/>
  <c r="F30" i="5"/>
  <c r="C30" i="5"/>
  <c r="F29" i="5"/>
  <c r="C29" i="5"/>
  <c r="F28" i="5"/>
  <c r="C28" i="5"/>
  <c r="F27" i="5"/>
  <c r="C27" i="5"/>
  <c r="F26" i="5"/>
  <c r="C26" i="5"/>
  <c r="F25" i="5"/>
  <c r="C25" i="5"/>
  <c r="F24" i="5"/>
  <c r="C24" i="5"/>
  <c r="F23" i="5"/>
  <c r="C23" i="5"/>
  <c r="C12" i="5"/>
  <c r="C11" i="5"/>
  <c r="C10" i="5"/>
  <c r="C9" i="5"/>
  <c r="C8" i="5"/>
  <c r="C7" i="5"/>
  <c r="C28" i="4"/>
  <c r="C24" i="4"/>
  <c r="E23" i="4"/>
  <c r="C23" i="4"/>
  <c r="E22" i="4"/>
  <c r="D22" i="4"/>
  <c r="C22" i="4"/>
  <c r="D21" i="4"/>
  <c r="C21" i="4"/>
  <c r="D20" i="4"/>
  <c r="C20" i="4"/>
  <c r="E19" i="4"/>
  <c r="C19" i="4"/>
  <c r="C14" i="4"/>
  <c r="C11" i="4"/>
  <c r="C10" i="4"/>
  <c r="C9" i="4"/>
  <c r="C7" i="4"/>
  <c r="C6" i="4"/>
  <c r="F26" i="3"/>
  <c r="D26" i="3"/>
  <c r="C6" i="2"/>
  <c r="C51" i="1"/>
  <c r="E9" i="6" s="1"/>
  <c r="C50" i="1"/>
  <c r="D9" i="6" s="1"/>
  <c r="C49" i="1"/>
  <c r="C9" i="6" s="1"/>
  <c r="C48" i="1"/>
  <c r="C47" i="1"/>
  <c r="C46" i="1"/>
  <c r="C17" i="5" s="1"/>
  <c r="C45" i="1"/>
  <c r="C14" i="5" s="1"/>
  <c r="C44" i="1"/>
  <c r="C43" i="1"/>
  <c r="C15" i="4" s="1"/>
  <c r="C42" i="1"/>
  <c r="C13" i="4" s="1"/>
  <c r="C41" i="1"/>
  <c r="C40" i="1"/>
  <c r="C8" i="4" s="1"/>
  <c r="E21" i="4" l="1"/>
  <c r="E20" i="4"/>
  <c r="E24" i="4"/>
  <c r="E6" i="6"/>
  <c r="D6" i="6"/>
  <c r="C6" i="6"/>
  <c r="F17" i="6"/>
  <c r="F18" i="6" s="1"/>
  <c r="F19" i="6" s="1"/>
  <c r="F20" i="6" s="1"/>
  <c r="F21" i="6" s="1"/>
  <c r="F22" i="6" s="1"/>
  <c r="F23" i="6" s="1"/>
  <c r="F24" i="6" s="1"/>
  <c r="F25" i="6" s="1"/>
  <c r="F26" i="6" s="1"/>
  <c r="F27" i="6" s="1"/>
  <c r="F28" i="6" s="1"/>
  <c r="F29" i="6" s="1"/>
  <c r="F30" i="6" s="1"/>
  <c r="F31" i="6" s="1"/>
  <c r="F32" i="6" s="1"/>
  <c r="F33" i="6" s="1"/>
  <c r="F34" i="6" s="1"/>
  <c r="F35" i="6" s="1"/>
  <c r="F36" i="6" s="1"/>
  <c r="F37" i="6" s="1"/>
  <c r="E17" i="6"/>
  <c r="E18" i="6" s="1"/>
  <c r="E19" i="6" s="1"/>
  <c r="E20" i="6" s="1"/>
  <c r="E21" i="6" s="1"/>
  <c r="E22" i="6" s="1"/>
  <c r="E23" i="6" s="1"/>
  <c r="E24" i="6" s="1"/>
  <c r="E25" i="6" s="1"/>
  <c r="E26" i="6" s="1"/>
  <c r="E27" i="6" s="1"/>
  <c r="E28" i="6" s="1"/>
  <c r="E29" i="6" s="1"/>
  <c r="E30" i="6" s="1"/>
  <c r="E31" i="6" s="1"/>
  <c r="E32" i="6" s="1"/>
  <c r="E33" i="6" s="1"/>
  <c r="E34" i="6" s="1"/>
  <c r="E35" i="6" s="1"/>
  <c r="E36" i="6" s="1"/>
  <c r="E37" i="6" s="1"/>
  <c r="D17" i="6"/>
  <c r="D18" i="6" s="1"/>
  <c r="D19" i="6" s="1"/>
  <c r="D20" i="6" s="1"/>
  <c r="D21" i="6" s="1"/>
  <c r="D22" i="6" s="1"/>
  <c r="D23" i="6" s="1"/>
  <c r="D24" i="6" s="1"/>
  <c r="D25" i="6" s="1"/>
  <c r="D26" i="6" s="1"/>
  <c r="D27" i="6" s="1"/>
  <c r="D28" i="6" s="1"/>
  <c r="D29" i="6" s="1"/>
  <c r="D30" i="6" s="1"/>
  <c r="D31" i="6" s="1"/>
  <c r="D32" i="6" s="1"/>
  <c r="D33" i="6" s="1"/>
  <c r="D34" i="6" s="1"/>
  <c r="D35" i="6" s="1"/>
  <c r="D36" i="6" s="1"/>
  <c r="D37" i="6" s="1"/>
  <c r="D55" i="5"/>
  <c r="D51" i="5"/>
  <c r="E13" i="6"/>
  <c r="D13" i="6"/>
  <c r="C13" i="6"/>
  <c r="C18" i="5"/>
  <c r="D33" i="5"/>
  <c r="D32" i="5"/>
  <c r="D31" i="5"/>
  <c r="D30" i="5"/>
  <c r="D29" i="5"/>
  <c r="D28" i="5"/>
  <c r="D27" i="5"/>
  <c r="D26" i="5"/>
  <c r="D25" i="5"/>
  <c r="D24" i="5"/>
  <c r="D23" i="5"/>
  <c r="D34" i="5"/>
  <c r="C13" i="5"/>
  <c r="D23" i="4"/>
  <c r="C50" i="5"/>
  <c r="C52" i="5"/>
  <c r="D19" i="4"/>
  <c r="D24" i="4" s="1"/>
  <c r="C12" i="4"/>
  <c r="D35" i="5" l="1"/>
</calcChain>
</file>

<file path=xl/sharedStrings.xml><?xml version="1.0" encoding="utf-8"?>
<sst xmlns="http://schemas.openxmlformats.org/spreadsheetml/2006/main" count="531" uniqueCount="439">
  <si>
    <t>ASSUMPTION</t>
  </si>
  <si>
    <t>UNIT</t>
  </si>
  <si>
    <t>DESCRIPTION</t>
  </si>
  <si>
    <t xml:space="preserve">  A  |  PORTFOLIO ASSUMPTIONS</t>
  </si>
  <si>
    <t>Portfolio Value</t>
  </si>
  <si>
    <t>USD</t>
  </si>
  <si>
    <t>Total market value of the concentrated tech portfolio</t>
  </si>
  <si>
    <t>Estimated Cost Basis</t>
  </si>
  <si>
    <t>Original acquisition cost of tech holdings</t>
  </si>
  <si>
    <t>Tech Equity Concentration</t>
  </si>
  <si>
    <t>%</t>
  </si>
  <si>
    <t>Percentage of portfolio in single tech sector</t>
  </si>
  <si>
    <t>Cash &amp; Equivalents Allocation</t>
  </si>
  <si>
    <t>Remaining portfolio in money market / cash</t>
  </si>
  <si>
    <t xml:space="preserve">  B  |  TAX RATE ASSUMPTIONS</t>
  </si>
  <si>
    <t>Fed Long-Term Capital Gains Rate</t>
  </si>
  <si>
    <t>Top federal rate on long-term capital gains</t>
  </si>
  <si>
    <t>Net Investment Income Tax (NIIT)</t>
  </si>
  <si>
    <t>Medicare surtax on investment income (IRC §1411)</t>
  </si>
  <si>
    <t>State Income Tax Rate (CA)</t>
  </si>
  <si>
    <t>Highest marginal California income tax rate</t>
  </si>
  <si>
    <t>Marginal Income Tax Bracket</t>
  </si>
  <si>
    <t>Used for after-tax interest and deduction calculations</t>
  </si>
  <si>
    <t>Tax-Loss Harvesting Offset</t>
  </si>
  <si>
    <t>Identified losses available to offset realized gains</t>
  </si>
  <si>
    <t xml:space="preserve">  C  |  LIQUIDATION PARAMETERS</t>
  </si>
  <si>
    <t>Number of Tranches</t>
  </si>
  <si>
    <t>#</t>
  </si>
  <si>
    <t>Total liquidation tranches spread over Months 4-8</t>
  </si>
  <si>
    <t>Tranche Amount (each)</t>
  </si>
  <si>
    <t>Amount of tech equity liquidated per tranche</t>
  </si>
  <si>
    <t xml:space="preserve">  D  |  SECURITIES-BASED LENDING PARAMETERS</t>
  </si>
  <si>
    <t>SBL Loan Amount</t>
  </si>
  <si>
    <t>Non-purpose credit line drawn to seed Private Foundation with $5M initial capital</t>
  </si>
  <si>
    <t>Collateral Pledged</t>
  </si>
  <si>
    <t>Portfolio value pledged; 40% ($10M) remains unencumbered</t>
  </si>
  <si>
    <t>SOFR Benchmark Rate</t>
  </si>
  <si>
    <t>Secured Overnight Financing Rate — update as market moves</t>
  </si>
  <si>
    <t>Credit Spread</t>
  </si>
  <si>
    <t>Institutional pricing spread above SOFR</t>
  </si>
  <si>
    <t>Margin Call LTV Trigger</t>
  </si>
  <si>
    <t>LTV level at which additional collateral is required</t>
  </si>
  <si>
    <t xml:space="preserve">  E  |  GOALS-BASED PLANNING ASSUMPTIONS</t>
  </si>
  <si>
    <t>Bear Case Gross Return</t>
  </si>
  <si>
    <t>Conservative scenario — stressed market environment</t>
  </si>
  <si>
    <t>Base Case Gross Return</t>
  </si>
  <si>
    <t>Institutional long-term capital market assumption</t>
  </si>
  <si>
    <t>Bull Case Gross Return</t>
  </si>
  <si>
    <t>Optimistic scenario — alternatives outperform</t>
  </si>
  <si>
    <t>Annual Withdrawal Rate</t>
  </si>
  <si>
    <t>Sustainable annual distribution for lifestyle &amp; philanthropy</t>
  </si>
  <si>
    <t>Planning Horizon (Years)</t>
  </si>
  <si>
    <t>Yrs</t>
  </si>
  <si>
    <t>Long-term compounding window</t>
  </si>
  <si>
    <t>Private Foundation Target</t>
  </si>
  <si>
    <t>Target philanthropic endowment value</t>
  </si>
  <si>
    <t>Foundation Annual Return</t>
  </si>
  <si>
    <t>Expected endowment investment return</t>
  </si>
  <si>
    <t>Foundation Annual Payout</t>
  </si>
  <si>
    <t>Annual grantmaking as % of foundation assets</t>
  </si>
  <si>
    <t>Foundation Annual Contribution</t>
  </si>
  <si>
    <t>Annual client contribution from portfolio income; bridges $5M seed to $10M target at Year 20</t>
  </si>
  <si>
    <t xml:space="preserve">  F  |  COMPUTED VALUES  —  Auto-calculated from above.  Do not edit.</t>
  </si>
  <si>
    <t>Unrealized Capital Gains</t>
  </si>
  <si>
    <t>Portfolio Value − Cost Basis</t>
  </si>
  <si>
    <t>Gross Effective Tax Rate</t>
  </si>
  <si>
    <t>Fed + NIIT + State</t>
  </si>
  <si>
    <t>Estimated Gross Tax Liability</t>
  </si>
  <si>
    <t>Unrealized Gains × Effective Rate</t>
  </si>
  <si>
    <t>Net Tax Liability (After Offset)</t>
  </si>
  <si>
    <t>Gross Tax − Harvesting Offset</t>
  </si>
  <si>
    <t>All-In SBL Interest Rate</t>
  </si>
  <si>
    <t>SOFR + Credit Spread</t>
  </si>
  <si>
    <t>After-Tax SBL Rate</t>
  </si>
  <si>
    <t>All-In Rate × (1 − Tax Bracket)</t>
  </si>
  <si>
    <t>Annual Gross Interest (SBL)</t>
  </si>
  <si>
    <t>Loan Amount × All-In Rate</t>
  </si>
  <si>
    <t>Annual After-Tax Interest (SBL)</t>
  </si>
  <si>
    <t>Annual Gross × (1 − Tax Bracket)</t>
  </si>
  <si>
    <t>Post-Tax Starting Portfolio</t>
  </si>
  <si>
    <t>Portfolio Value − Net Tax Liability (Gross Tax − Harvesting Offset)</t>
  </si>
  <si>
    <t>Bear Net Return (after withdrawal)</t>
  </si>
  <si>
    <t>Bear Return − Withdrawal Rate</t>
  </si>
  <si>
    <t>Base Net Return (after withdrawal)</t>
  </si>
  <si>
    <t>Base Return − Withdrawal Rate</t>
  </si>
  <si>
    <t>Bull Net Return (after withdrawal)</t>
  </si>
  <si>
    <t>Bull Return − Withdrawal Rate</t>
  </si>
  <si>
    <t>UHNW PORTFOLIO TRANSITION ANALYSIS</t>
  </si>
  <si>
    <t>$25M Tech Founder Case Study  |  Concentrated Equity to Institutional Diversification  |  February 2026</t>
  </si>
  <si>
    <t xml:space="preserve">  CLIENT PROFILE</t>
  </si>
  <si>
    <t>Client Segment</t>
  </si>
  <si>
    <t>Ultra High Net Worth (UHNW)  |  $10M+ Investable Assets</t>
  </si>
  <si>
    <t>Client Type</t>
  </si>
  <si>
    <t>Technology Founder / Entrepreneur</t>
  </si>
  <si>
    <t>Primary Challenge</t>
  </si>
  <si>
    <t>90% portfolio concentration in single tech sector; $18.5M unrealized gains</t>
  </si>
  <si>
    <t>Primary Objective</t>
  </si>
  <si>
    <t>De-risk position, generate income, fund $10M Private Foundation</t>
  </si>
  <si>
    <t xml:space="preserve">  KEY OUTCOMES: CURRENT vs. OPTIMIZED DIVERSIFIED MODEL</t>
  </si>
  <si>
    <t>Metric</t>
  </si>
  <si>
    <t>Current Portfolio</t>
  </si>
  <si>
    <t>Optimized Model</t>
  </si>
  <si>
    <t>Improvement</t>
  </si>
  <si>
    <t>Asset Classes</t>
  </si>
  <si>
    <t>2</t>
  </si>
  <si>
    <t>7</t>
  </si>
  <si>
    <t>+5 Classes</t>
  </si>
  <si>
    <t>Portfolio Beta</t>
  </si>
  <si>
    <t>1.35</t>
  </si>
  <si>
    <t>0.88</t>
  </si>
  <si>
    <t>↓ 34.8%</t>
  </si>
  <si>
    <t>Value at Risk (95%)</t>
  </si>
  <si>
    <t>$4,250,000</t>
  </si>
  <si>
    <t>$1,875,000</t>
  </si>
  <si>
    <t>↓ 55.9%</t>
  </si>
  <si>
    <t>Maximum Drawdown (Est.)</t>
  </si>
  <si>
    <t>45.0%</t>
  </si>
  <si>
    <t>22.0%</t>
  </si>
  <si>
    <t>↓ 51.1%</t>
  </si>
  <si>
    <t>Concentration Risk Score</t>
  </si>
  <si>
    <t>95 / 100</t>
  </si>
  <si>
    <t>15 / 100</t>
  </si>
  <si>
    <t>↓ 84.2%</t>
  </si>
  <si>
    <t>Sharpe Ratio</t>
  </si>
  <si>
    <t>0.38</t>
  </si>
  <si>
    <t>0.68</t>
  </si>
  <si>
    <t>↑ 78.9%</t>
  </si>
  <si>
    <t>Annual Portfolio Income</t>
  </si>
  <si>
    <t>$112,500</t>
  </si>
  <si>
    <t>$625,000</t>
  </si>
  <si>
    <t>↑ 455%</t>
  </si>
  <si>
    <t>Correlation to S&amp;P 500</t>
  </si>
  <si>
    <t>0.94</t>
  </si>
  <si>
    <t>↓ 27.7%</t>
  </si>
  <si>
    <t>Number of Holdings</t>
  </si>
  <si>
    <t>8</t>
  </si>
  <si>
    <t>145</t>
  </si>
  <si>
    <t>+1,713%</t>
  </si>
  <si>
    <t xml:space="preserve">  RECOMMENDATION SUMMARY</t>
  </si>
  <si>
    <t>Phase / Topic</t>
  </si>
  <si>
    <t>Action &amp; Rationale</t>
  </si>
  <si>
    <t>Phase 1  (Months 1-3)</t>
  </si>
  <si>
    <t>Discovery and planning: risk tolerance assessment, cost basis review, CPA consultation, investment policy statement, and transition scenario modeling.</t>
  </si>
  <si>
    <t>Phase 2  (Months 4-11)</t>
  </si>
  <si>
    <t>Systematic liquidation across 5 tranches (Months 4-8, $4.5M each; total $22.5M). Concurrent redeployment into optimized model: 55% public equity, 23% fixed income, 20% alternatives (PE + Real Estate), 2% cash. Tax liability: est. $6.86M gross / $6.01M net.</t>
  </si>
  <si>
    <t>Phase 3  (Months 12-18)</t>
  </si>
  <si>
    <t>Establish $5M SBL credit facility against diversified portfolio. Seed Private Foundation without triggering additional capital gains. Ongoing rebalancing, tax-loss harvesting ($850K target), and quarterly performance reviews.</t>
  </si>
  <si>
    <t>Tax Strategy</t>
  </si>
  <si>
    <t>$850K tax-loss harvesting offset identified. DAF and Opportunity Zone structures available to further reduce net liability.</t>
  </si>
  <si>
    <t>Goals-Based Planning</t>
  </si>
  <si>
    <t>9.8% base-case expected return projects portfolio to approximately $85M at Year 20. Foundation reaches $10.0M target at Year 20: $5M SBL seed compounding at 2.5% net plus $70,760 annual contribution from diversified portfolio income.</t>
  </si>
  <si>
    <t>PORTFOLIO TRANSITION ANALYSIS</t>
  </si>
  <si>
    <t>From Concentrated Risk to Institutional Diversification  |  $25M Portfolio  |  February 2026</t>
  </si>
  <si>
    <t xml:space="preserve">  SECTION A: ASSET ALLOCATION COMPARISON</t>
  </si>
  <si>
    <t>Asset Class / Sub-Category</t>
  </si>
  <si>
    <t>Current
Alloc %</t>
  </si>
  <si>
    <t>Current
Value ($)</t>
  </si>
  <si>
    <t>Optimized Model
Alloc %</t>
  </si>
  <si>
    <t>Optimized Model
Value ($)</t>
  </si>
  <si>
    <t>Cash &amp; Equivalents</t>
  </si>
  <si>
    <t xml:space="preserve">    Money Market</t>
  </si>
  <si>
    <t>Fixed Income</t>
  </si>
  <si>
    <t xml:space="preserve">    High Yield Bonds</t>
  </si>
  <si>
    <t xml:space="preserve">    Investment Grade Bonds</t>
  </si>
  <si>
    <t xml:space="preserve">    Municipal Bonds</t>
  </si>
  <si>
    <t>Private Equity</t>
  </si>
  <si>
    <t xml:space="preserve">    Buyout Funds</t>
  </si>
  <si>
    <t xml:space="preserve">    Venture Capital</t>
  </si>
  <si>
    <t>Public Equity</t>
  </si>
  <si>
    <t xml:space="preserve">    Emerging Markets</t>
  </si>
  <si>
    <t xml:space="preserve">    International Developed</t>
  </si>
  <si>
    <t xml:space="preserve">    US Large Cap</t>
  </si>
  <si>
    <t xml:space="preserve">    US Large Cap Tech</t>
  </si>
  <si>
    <t xml:space="preserve">    US Large Cap Tech (90% Concentration)</t>
  </si>
  <si>
    <t xml:space="preserve">    US Mid Cap</t>
  </si>
  <si>
    <t xml:space="preserve">    US Small Cap</t>
  </si>
  <si>
    <t>Real Estate</t>
  </si>
  <si>
    <t xml:space="preserve">    Core Real Estate</t>
  </si>
  <si>
    <t xml:space="preserve">    Real Estate Opportunistic</t>
  </si>
  <si>
    <t>TOTAL PORTFOLIO VALUE</t>
  </si>
  <si>
    <t xml:space="preserve">  SECTION B: RISK &amp; RETURN METRICS COMPARISON</t>
  </si>
  <si>
    <t>Category</t>
  </si>
  <si>
    <t>Change / Improvement</t>
  </si>
  <si>
    <t>Portfolio Risk</t>
  </si>
  <si>
    <t>Value at Risk 95%</t>
  </si>
  <si>
    <t>Maximum Drawdown Estimate</t>
  </si>
  <si>
    <t>95</t>
  </si>
  <si>
    <t>15</t>
  </si>
  <si>
    <t>Expected Annual Return</t>
  </si>
  <si>
    <t>Return Metrics</t>
  </si>
  <si>
    <t>11.7%</t>
  </si>
  <si>
    <t>9.8%</t>
  </si>
  <si>
    <t>↓ 16.2%</t>
  </si>
  <si>
    <t>Risk-Adjusted Return</t>
  </si>
  <si>
    <t>Downside Deviation</t>
  </si>
  <si>
    <t>22.5%</t>
  </si>
  <si>
    <t>11.2%</t>
  </si>
  <si>
    <t>↓ 50.2%</t>
  </si>
  <si>
    <t>Diversification</t>
  </si>
  <si>
    <t>↑ 1712.5%</t>
  </si>
  <si>
    <t>Asset Class Count</t>
  </si>
  <si>
    <t>↑ 250.0%</t>
  </si>
  <si>
    <t>Geographic Exposure</t>
  </si>
  <si>
    <t>1</t>
  </si>
  <si>
    <t>4</t>
  </si>
  <si>
    <t>↑ 300.0%</t>
  </si>
  <si>
    <t>Annual Income Projection</t>
  </si>
  <si>
    <t>Income Generation</t>
  </si>
  <si>
    <t>↑ 455.6%</t>
  </si>
  <si>
    <t>Dividend Yield</t>
  </si>
  <si>
    <t>0.5%</t>
  </si>
  <si>
    <t>2.5%</t>
  </si>
  <si>
    <t>↑ 400.0%</t>
  </si>
  <si>
    <t>TAX TRANSITION ANALYSIS</t>
  </si>
  <si>
    <t>Capital Gains Management &amp; Tax-Efficient Liquidation Strategy  |  February 2026</t>
  </si>
  <si>
    <t xml:space="preserve">  SECTION A: CAPITAL GAINS OVERVIEW  —  All values update from Inputs tab</t>
  </si>
  <si>
    <t>Item</t>
  </si>
  <si>
    <t>Value</t>
  </si>
  <si>
    <t>Notes</t>
  </si>
  <si>
    <t>Current Portfolio Value</t>
  </si>
  <si>
    <t>Source: Inputs tab B6  |  Edit there to update all tabs</t>
  </si>
  <si>
    <t>Source: Inputs tab B7</t>
  </si>
  <si>
    <t>Portfolio Value − Cost Basis  (Inputs C40)</t>
  </si>
  <si>
    <t>Federal Long-Term Cap Gains Rate</t>
  </si>
  <si>
    <t>Source: Inputs tab C12  |  Top federal rate on long-term gains</t>
  </si>
  <si>
    <t>Medicare surtax on investment income (IRC §1411)  — Inputs C13</t>
  </si>
  <si>
    <t>State Tax Rate (CA)</t>
  </si>
  <si>
    <t>Highest marginal CA rate  — Inputs C14</t>
  </si>
  <si>
    <t>Gross Effective Rate</t>
  </si>
  <si>
    <t>Fed + NIIT + State  (Inputs C41)</t>
  </si>
  <si>
    <t>Unrealized Gains × Effective Rate  (Inputs C42)</t>
  </si>
  <si>
    <t>Identified losses to offset gains  — Inputs C16  (displayed as reduction)</t>
  </si>
  <si>
    <t>Gross Tax − Offset  (Inputs C43)</t>
  </si>
  <si>
    <t xml:space="preserve">  SECTION B: PHASED LIQUIDATION SCHEDULE  —  5 Tranches Over 8 Months</t>
  </si>
  <si>
    <t>Tranche / Month</t>
  </si>
  <si>
    <t>Amount Liquidated</t>
  </si>
  <si>
    <t>Est. Tax Impact</t>
  </si>
  <si>
    <t>Cumulative Liquidated</t>
  </si>
  <si>
    <t>Tranche 1  (Month 4)</t>
  </si>
  <si>
    <t>Tranche 2  (Month 5)</t>
  </si>
  <si>
    <t>Tranche 3  (Month 6)</t>
  </si>
  <si>
    <t>Tranche 4  (Month 7)</t>
  </si>
  <si>
    <t>Tranche 5  (Month 8)</t>
  </si>
  <si>
    <t>TOTAL LIQUIDATED</t>
  </si>
  <si>
    <t xml:space="preserve">  SECTION C: TAX OPTIMIZATION STRATEGIES</t>
  </si>
  <si>
    <t>Strategy</t>
  </si>
  <si>
    <t>Est. Value</t>
  </si>
  <si>
    <t>Description</t>
  </si>
  <si>
    <t>Tax-Loss Harvesting</t>
  </si>
  <si>
    <t>Identify offsetting losses in fixed income and other equity positions. Reduces net taxable gain dollar-for-dollar.</t>
  </si>
  <si>
    <t>Donor-Advised Fund (DAF)</t>
  </si>
  <si>
    <t>Contribute appreciated shares directly to DAF. Avoid capital gains entirely; receive fair-market-value charitable deduction.</t>
  </si>
  <si>
    <t>Qualified Opportunity Zone (QOZ)</t>
  </si>
  <si>
    <t>Invest deferred gains into QOZ fund. Defer recognition and potentially exclude future appreciation after 10-year hold.</t>
  </si>
  <si>
    <t>Installment Liquidation Structure</t>
  </si>
  <si>
    <t>Structural</t>
  </si>
  <si>
    <t>5 monthly tranches across Months 4-8 within a single tax year. To split recognition across two tax years, time the final tranche(s) after December 31.</t>
  </si>
  <si>
    <t>Charitable Remainder Trust (CRT)</t>
  </si>
  <si>
    <t>Transfer appreciated stock into CRT. Avoid immediate gain, receive income stream, estate planning benefit.</t>
  </si>
  <si>
    <t>All tax figures are estimates. Actual liability depends on cost basis, holding period, filing status, and applicable deductions. Coordinate with qualified CPA and estate attorney before execution.  Change portfolio value, cost basis, or tax rates in the Inputs tab to update all figures.</t>
  </si>
  <si>
    <t>SECURITIES-BASED LENDING (SBL) CREDIT FACILITY</t>
  </si>
  <si>
    <t>$5M Non-Purpose Credit Facility  |  Private Foundation Funding Strategy  |  February 2026</t>
  </si>
  <si>
    <t xml:space="preserve">  SECTION A: CREDIT FACILITY STRUCTURE  —  Live formulas from Inputs tab</t>
  </si>
  <si>
    <t>Parameter</t>
  </si>
  <si>
    <t>Loan Purpose</t>
  </si>
  <si>
    <t>Non-Purpose Loan</t>
  </si>
  <si>
    <t>Proceeds may not purchase or carry securities (Reg U)</t>
  </si>
  <si>
    <t>Loan Amount</t>
  </si>
  <si>
    <t>Source: Inputs C23  |  Change there to update all SBL figures</t>
  </si>
  <si>
    <t>Collateral Portfolio Value</t>
  </si>
  <si>
    <t>Source: Inputs C24  |  60% of diversified portfolio pledged</t>
  </si>
  <si>
    <t>Loan-to-Value (LTV)</t>
  </si>
  <si>
    <t>Loan ÷ Collateral  (auto-updates if either changes)</t>
  </si>
  <si>
    <t>Margin Call Trigger</t>
  </si>
  <si>
    <t>Source: Inputs C27  |  LTV level requiring additional collateral</t>
  </si>
  <si>
    <t>Source: Inputs C25  |  Update when market SOFR changes</t>
  </si>
  <si>
    <t>Source: Inputs C26  |  Institutional UHNW pricing</t>
  </si>
  <si>
    <t>All-In Interest Rate</t>
  </si>
  <si>
    <t>SOFR + Spread  (Inputs C44)</t>
  </si>
  <si>
    <t>Effective After-Tax Rate</t>
  </si>
  <si>
    <t>All-In × (1 − Tax Bracket)  (Inputs C45)</t>
  </si>
  <si>
    <t>Payment Structure</t>
  </si>
  <si>
    <t>Interest-Only</t>
  </si>
  <si>
    <t>No mandatory principal amortization; annual rate resets</t>
  </si>
  <si>
    <t>Facility Term</t>
  </si>
  <si>
    <t>12 Months (Renewable)</t>
  </si>
  <si>
    <t>Annually renewable at bank's discretion; no prepayment penalty</t>
  </si>
  <si>
    <t>Annual Gross Interest</t>
  </si>
  <si>
    <t>Loan Amount × All-In Rate  (Inputs C46)</t>
  </si>
  <si>
    <t>Annual After-Tax Interest</t>
  </si>
  <si>
    <t>Annual Gross × (1 − Tax Bracket)  (Inputs C47)</t>
  </si>
  <si>
    <t>Use of Proceeds</t>
  </si>
  <si>
    <t>Private Foundation Seed Capital</t>
  </si>
  <si>
    <t>Fund $10M philanthropic vehicle without triggering capital gains</t>
  </si>
  <si>
    <t xml:space="preserve">  SECTION B: INTEREST-ONLY PAYMENT SCHEDULE  —  12-Month Facility</t>
  </si>
  <si>
    <t>Period</t>
  </si>
  <si>
    <t>Beginning Balance</t>
  </si>
  <si>
    <t>Monthly Interest</t>
  </si>
  <si>
    <t>Principal Payment</t>
  </si>
  <si>
    <t>Ending Balance</t>
  </si>
  <si>
    <t>Month  1</t>
  </si>
  <si>
    <t>Month  2</t>
  </si>
  <si>
    <t>Month  3</t>
  </si>
  <si>
    <t>Month  4</t>
  </si>
  <si>
    <t>Month  5</t>
  </si>
  <si>
    <t>Month  6</t>
  </si>
  <si>
    <t>Month  7</t>
  </si>
  <si>
    <t>Month  8</t>
  </si>
  <si>
    <t>Month  9</t>
  </si>
  <si>
    <t>Month 10</t>
  </si>
  <si>
    <t>Month 11</t>
  </si>
  <si>
    <t>Month 12</t>
  </si>
  <si>
    <t>TOTAL ANNUAL INTEREST</t>
  </si>
  <si>
    <t xml:space="preserve">  SECTION C: MARGIN CALL STRESS TEST</t>
  </si>
  <si>
    <t>Scenario</t>
  </si>
  <si>
    <t>Collateral Decline</t>
  </si>
  <si>
    <t>Collateral Value</t>
  </si>
  <si>
    <t>Resulting LTV</t>
  </si>
  <si>
    <t>Margin Call Triggered?</t>
  </si>
  <si>
    <t>Base Case</t>
  </si>
  <si>
    <t>0%  (Baseline)</t>
  </si>
  <si>
    <t>Moderate Decline</t>
  </si>
  <si>
    <t>-10%</t>
  </si>
  <si>
    <t>Significant Drop</t>
  </si>
  <si>
    <t>-20%</t>
  </si>
  <si>
    <t>Severe Stress</t>
  </si>
  <si>
    <t>-30%</t>
  </si>
  <si>
    <t>2008-Style Crisis</t>
  </si>
  <si>
    <t>-40%</t>
  </si>
  <si>
    <t>Extreme Tail Risk</t>
  </si>
  <si>
    <t>-50%</t>
  </si>
  <si>
    <t>Stress test applies to the pledged collateral ($15M by default — Inputs C24). Change collateral value or loan amount in Inputs tab to instantly update all LTV figures.  2008 historical S&amp;P 500 peak-to-trough: -57%.</t>
  </si>
  <si>
    <t xml:space="preserve">  SECTION D: SBL vs. OUTRIGHT LIQUIDATION — TAX ARBITRAGE ANALYSIS</t>
  </si>
  <si>
    <t>Comparison Factor</t>
  </si>
  <si>
    <t>Liquidate &amp; Pay Gains</t>
  </si>
  <si>
    <t>SBL Credit Facility</t>
  </si>
  <si>
    <t>SBL Advantage</t>
  </si>
  <si>
    <t>Immediate Tax Cost</t>
  </si>
  <si>
    <t>$0</t>
  </si>
  <si>
    <t>SBL defers this tax indefinitely</t>
  </si>
  <si>
    <t>Annual Carry Cost</t>
  </si>
  <si>
    <t>After-tax interest replaces upfront tax burden</t>
  </si>
  <si>
    <t>Capital Deployed to Foundation</t>
  </si>
  <si>
    <t>SBL delivers full loan amount; liquidation loses tax portion</t>
  </si>
  <si>
    <t>Portfolio Assets Still Compounding</t>
  </si>
  <si>
    <t>SBL preserves the full $25M base</t>
  </si>
  <si>
    <t>Est. Portfolio Return on Preserved Capital (Yr 1)</t>
  </si>
  <si>
    <t>N/A</t>
  </si>
  <si>
    <t>Base case return × preserved capital</t>
  </si>
  <si>
    <t>Net Annual Benefit of SBL (Yr 1)</t>
  </si>
  <si>
    <t>Portfolio return on preserved capital minus carry cost</t>
  </si>
  <si>
    <t>SBL Breakeven vs. Liquidation</t>
  </si>
  <si>
    <t>3.1 Years</t>
  </si>
  <si>
    <t>Complex NPV calculation — see sbl_credit_strategy.csv</t>
  </si>
  <si>
    <t>10-Year SBL Advantage</t>
  </si>
  <si>
    <t>$7,124,500</t>
  </si>
  <si>
    <t>Tax saved + compounding opportunity cost over 10 years</t>
  </si>
  <si>
    <t>GOALS-BASED WEALTH PLANNING</t>
  </si>
  <si>
    <t>$10M Private Foundation  |  20-Year Portfolio Projection  |  Bear / Base / Bull Scenarios  |  February 2026</t>
  </si>
  <si>
    <t xml:space="preserve">  SECTION A: PLANNING ASSUMPTIONS  —  All values pull from Inputs tab</t>
  </si>
  <si>
    <t>Bear Case</t>
  </si>
  <si>
    <t>Bull Case</t>
  </si>
  <si>
    <t>Starting Portfolio Value</t>
  </si>
  <si>
    <t>Net of estimated tax after harvesting offset  (Inputs C48)</t>
  </si>
  <si>
    <t>Expected Gross Annual Return</t>
  </si>
  <si>
    <t>Edit individual scenario returns in Inputs E30-E32</t>
  </si>
  <si>
    <t>Inputs E33  |  Applied uniformly across all scenarios</t>
  </si>
  <si>
    <t>Net Annual Growth Rate</t>
  </si>
  <si>
    <t>Return minus Withdrawal Rate  (Inputs C49-C51)  — drives the projection</t>
  </si>
  <si>
    <t>Investment Horizon</t>
  </si>
  <si>
    <t>20 Years</t>
  </si>
  <si>
    <t>Inputs E34</t>
  </si>
  <si>
    <t>Inputs E35  |  Philanthropic endowment goal</t>
  </si>
  <si>
    <t>Foundation Funding Method</t>
  </si>
  <si>
    <t>SBL Facility</t>
  </si>
  <si>
    <t>$5M drawn from credit line — zero liquidation, zero additional tax</t>
  </si>
  <si>
    <t>Annual SBL Interest Cost</t>
  </si>
  <si>
    <t>After-tax interest  (Inputs C47)  — updates with rate or loan changes</t>
  </si>
  <si>
    <t xml:space="preserve">  SECTION B: 20-YEAR PORTFOLIO PROJECTION  —  Each year = prior year × (1 + net rate).  Change Inputs to reprice instantly.</t>
  </si>
  <si>
    <t>Year</t>
  </si>
  <si>
    <t>Calendar Year</t>
  </si>
  <si>
    <t>Bear Case
(Net 3.0%)</t>
  </si>
  <si>
    <t>Base Case
(Net 7.8%)</t>
  </si>
  <si>
    <t>Bull Case
(Net 11.5%)</t>
  </si>
  <si>
    <t>Milestone</t>
  </si>
  <si>
    <t>Year  1</t>
  </si>
  <si>
    <t>SBL Facility Established</t>
  </si>
  <si>
    <t>Year  2</t>
  </si>
  <si>
    <t>Year  3</t>
  </si>
  <si>
    <t>Year  4</t>
  </si>
  <si>
    <t>Year  5</t>
  </si>
  <si>
    <t>5-Year Review</t>
  </si>
  <si>
    <t>Year  6</t>
  </si>
  <si>
    <t>Year  7</t>
  </si>
  <si>
    <t>Year  8</t>
  </si>
  <si>
    <t>Year  9</t>
  </si>
  <si>
    <t>Year 10</t>
  </si>
  <si>
    <t>Foundation Self-Sustaining</t>
  </si>
  <si>
    <t>Year 11</t>
  </si>
  <si>
    <t>Year 12</t>
  </si>
  <si>
    <t>Year 13</t>
  </si>
  <si>
    <t>Year 14</t>
  </si>
  <si>
    <t>Year 15</t>
  </si>
  <si>
    <t>15-Year Review</t>
  </si>
  <si>
    <t>Year 16</t>
  </si>
  <si>
    <t>Year 17</t>
  </si>
  <si>
    <t>Year 18</t>
  </si>
  <si>
    <t>Year 19</t>
  </si>
  <si>
    <t>Year 20</t>
  </si>
  <si>
    <t>▲ Planning Horizon</t>
  </si>
  <si>
    <t>20-YEAR ENDING VALUE</t>
  </si>
  <si>
    <t>End of Planning Horizon</t>
  </si>
  <si>
    <t xml:space="preserve">  SECTION C: PRIVATE FOUNDATION FUNDING ANALYSIS</t>
  </si>
  <si>
    <t>Foundation Value</t>
  </si>
  <si>
    <t>Cumulative Grants</t>
  </si>
  <si>
    <t>Endowment Status</t>
  </si>
  <si>
    <t>SBL Proceeds Deployed</t>
  </si>
  <si>
    <t>Year 1</t>
  </si>
  <si>
    <t>Foundation Seeded</t>
  </si>
  <si>
    <t>100% via SBL — zero additional liquidation. $70,760/yr contribution begins Year 1.</t>
  </si>
  <si>
    <t>Foundation — Year 5</t>
  </si>
  <si>
    <t>Year 5</t>
  </si>
  <si>
    <t>Growing</t>
  </si>
  <si>
    <t>7.5% return net of 5% grantmaking + $70,760/yr client contribution</t>
  </si>
  <si>
    <t>Foundation — Year 10</t>
  </si>
  <si>
    <t>Projected $7.2M at Year 10 — seed + annual contributions</t>
  </si>
  <si>
    <t>SBL Loan Fully Repaid</t>
  </si>
  <si>
    <t>Debt-Free</t>
  </si>
  <si>
    <t>Loan retired from portfolio income — no asset sales</t>
  </si>
  <si>
    <t>Foundation — Year 20 (Proj.)</t>
  </si>
  <si>
    <t>Target Achieved</t>
  </si>
  <si>
    <t>$10M target reached: $5M seed + $70,760/yr from portfolio income</t>
  </si>
  <si>
    <t>VALUE</t>
  </si>
  <si>
    <t>INPUTS &amp; ASSUMPTIONS</t>
  </si>
  <si>
    <t>Model assumptions drive every output. Any adjustment to inputs will update the analysis dynamically.</t>
  </si>
  <si>
    <t>UHNW Portfolio Case Study  |  Prepared: February 2026</t>
  </si>
  <si>
    <t>Navigate tabs:  Inputs  |  Portfolio Transition  |  Tax Analysis  |  SBL Credit  |  Goals Planning    Prepared by: Mario Enrique Mercado  |  February 2026</t>
  </si>
  <si>
    <t>Key formula: Tax Cost = Loan Amount × Effective Rate (both from Inputs).  Carry Cost = Annual After-Tax Interest (Inputs C47).</t>
  </si>
  <si>
    <t>Foundation value = Seed × (1 + Net Return)^Year + Annual Contribution × ((1 + Net Return)^Year − 1) / Net Return.  Net Return = Foundation Annual Return − Annual Payout (Inputs C36 &amp; C37).  Annual Contribution (Inputs C38, default $70,760) sourced from diversified portfolio income ($625K/yr).  Cumulative grants column is a simplified lower-bound: Seed × Payout ×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</si>
</sst>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25" x14ac:knownFonts="1">
    <font>
      <sz val="11"/>
      <color theme="1"/>
      <name val="Calibri"/>
      <family val="2"/>
      <scheme val="minor"/>
    </font>
    <font>
      <b/>
      <sz val="13"/>
      <color rgb="FFFFFFFF"/>
      <name val="Calibri"/>
      <family val="2"/>
    </font>
    <font>
      <sz val="10"/>
      <color rgb="FFC8A84B"/>
      <name val="Calibri"/>
      <family val="2"/>
    </font>
    <font>
      <b/>
      <sz val="9"/>
      <color rgb="FFFFFFFF"/>
      <name val="Calibri"/>
      <family val="2"/>
    </font>
    <font>
      <b/>
      <sz val="10"/>
      <color rgb="FF002D72"/>
      <name val="Calibri"/>
      <family val="2"/>
    </font>
    <font>
      <b/>
      <sz val="11"/>
      <color rgb="FF404040"/>
      <name val="Calibri"/>
      <family val="2"/>
    </font>
    <font>
      <sz val="10"/>
      <color rgb="FF888888"/>
      <name val="Calibri"/>
      <family val="2"/>
    </font>
    <font>
      <sz val="9"/>
      <color rgb="FF555555"/>
      <name val="Calibri"/>
      <family val="2"/>
    </font>
    <font>
      <b/>
      <sz val="10"/>
      <color rgb="FF404040"/>
      <name val="Calibri"/>
      <family val="2"/>
    </font>
    <font>
      <sz val="10"/>
      <color rgb="FF002D72"/>
      <name val="Calibri"/>
      <family val="2"/>
    </font>
    <font>
      <i/>
      <sz val="8"/>
      <color rgb="FF888888"/>
      <name val="Calibri"/>
      <family val="2"/>
    </font>
    <font>
      <sz val="10"/>
      <color rgb="FF404040"/>
      <name val="Calibri"/>
      <family val="2"/>
    </font>
    <font>
      <sz val="10"/>
      <color rgb="FFC00000"/>
      <name val="Calibri"/>
      <family val="2"/>
    </font>
    <font>
      <sz val="10"/>
      <color rgb="FF00703C"/>
      <name val="Calibri"/>
      <family val="2"/>
    </font>
    <font>
      <b/>
      <sz val="10"/>
      <color rgb="FF00703C"/>
      <name val="Calibri"/>
      <family val="2"/>
    </font>
    <font>
      <sz val="9"/>
      <color rgb="FF404040"/>
      <name val="Calibri"/>
      <family val="2"/>
    </font>
    <font>
      <sz val="9"/>
      <color rgb="FFC00000"/>
      <name val="Calibri"/>
      <family val="2"/>
    </font>
    <font>
      <sz val="9"/>
      <color rgb="FF00703C"/>
      <name val="Calibri"/>
      <family val="2"/>
    </font>
    <font>
      <b/>
      <sz val="10"/>
      <color rgb="FFFFFFFF"/>
      <name val="Calibri"/>
      <family val="2"/>
    </font>
    <font>
      <b/>
      <sz val="10"/>
      <color rgb="FFC00000"/>
      <name val="Calibri"/>
      <family val="2"/>
    </font>
    <font>
      <sz val="9"/>
      <color rgb="FF666666"/>
      <name val="Calibri"/>
      <family val="2"/>
    </font>
    <font>
      <b/>
      <sz val="9"/>
      <color rgb="FF00703C"/>
      <name val="Calibri"/>
      <family val="2"/>
    </font>
    <font>
      <sz val="9"/>
      <color rgb="FF7030A0"/>
      <name val="Calibri"/>
      <family val="2"/>
    </font>
    <font>
      <sz val="9"/>
      <color rgb="FF888888"/>
      <name val="Calibri"/>
      <family val="2"/>
    </font>
    <font>
      <b/>
      <sz val="9"/>
      <color rgb="FF7030A0"/>
      <name val="Calibri"/>
      <family val="2"/>
    </font>
  </fonts>
  <fills count="9">
    <fill>
      <patternFill patternType="none"/>
    </fill>
    <fill>
      <patternFill patternType="gray125"/>
    </fill>
    <fill>
      <patternFill patternType="solid">
        <fgColor rgb="FF002D72"/>
      </patternFill>
    </fill>
    <fill>
      <patternFill patternType="solid">
        <fgColor rgb="FF1F5C99"/>
      </patternFill>
    </fill>
    <fill>
      <patternFill patternType="solid">
        <fgColor rgb="FFE8EEF7"/>
      </patternFill>
    </fill>
    <fill>
      <patternFill patternType="solid">
        <fgColor rgb="FFFFFFFF"/>
      </patternFill>
    </fill>
    <fill>
      <patternFill patternType="solid">
        <fgColor rgb="FFFFF2CC"/>
      </patternFill>
    </fill>
    <fill>
      <patternFill patternType="solid">
        <fgColor rgb="FFDEEAF1"/>
      </patternFill>
    </fill>
    <fill>
      <patternFill patternType="solid">
        <fgColor rgb="FFF2F2F2"/>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8A84B"/>
      </left>
      <right style="thin">
        <color rgb="FFC8A84B"/>
      </right>
      <top style="thin">
        <color rgb="FFC8A84B"/>
      </top>
      <bottom style="thin">
        <color rgb="FFC8A84B"/>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114">
    <xf numFmtId="0" fontId="0" fillId="0" borderId="0" xfId="0"/>
    <xf numFmtId="0" fontId="3" fillId="3"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164" fontId="5" fillId="6" borderId="2" xfId="0" applyNumberFormat="1" applyFont="1" applyFill="1" applyBorder="1" applyAlignment="1">
      <alignment horizontal="center" vertical="center"/>
    </xf>
    <xf numFmtId="0" fontId="6"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9" fontId="5" fillId="6" borderId="2" xfId="0" applyNumberFormat="1" applyFont="1" applyFill="1" applyBorder="1" applyAlignment="1">
      <alignment horizontal="center" vertical="center"/>
    </xf>
    <xf numFmtId="165" fontId="5" fillId="6" borderId="2" xfId="0" applyNumberFormat="1" applyFont="1" applyFill="1" applyBorder="1" applyAlignment="1">
      <alignment horizontal="center" vertical="center"/>
    </xf>
    <xf numFmtId="1" fontId="5" fillId="6" borderId="2" xfId="0" applyNumberFormat="1" applyFont="1" applyFill="1" applyBorder="1" applyAlignment="1">
      <alignment horizontal="center" vertical="center"/>
    </xf>
    <xf numFmtId="10" fontId="5" fillId="6" borderId="2" xfId="0" applyNumberFormat="1" applyFont="1" applyFill="1" applyBorder="1" applyAlignment="1">
      <alignment horizontal="center" vertical="center"/>
    </xf>
    <xf numFmtId="0" fontId="8" fillId="5" borderId="1" xfId="0" applyFont="1" applyFill="1" applyBorder="1" applyAlignment="1">
      <alignment horizontal="left" vertical="center" wrapText="1"/>
    </xf>
    <xf numFmtId="164" fontId="9" fillId="7" borderId="1" xfId="0" applyNumberFormat="1" applyFont="1" applyFill="1" applyBorder="1" applyAlignment="1">
      <alignment horizontal="center" vertical="center"/>
    </xf>
    <xf numFmtId="10" fontId="9" fillId="7" borderId="1" xfId="0" applyNumberFormat="1" applyFont="1" applyFill="1" applyBorder="1" applyAlignment="1">
      <alignment horizontal="center" vertical="center"/>
    </xf>
    <xf numFmtId="0" fontId="4" fillId="8"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65" fontId="8" fillId="4" borderId="1" xfId="0" applyNumberFormat="1" applyFont="1" applyFill="1" applyBorder="1" applyAlignment="1">
      <alignment horizontal="center" vertical="center" wrapText="1"/>
    </xf>
    <xf numFmtId="164" fontId="8" fillId="4" borderId="1" xfId="0" applyNumberFormat="1" applyFont="1" applyFill="1" applyBorder="1" applyAlignment="1">
      <alignment horizontal="right" vertical="center" wrapText="1"/>
    </xf>
    <xf numFmtId="0" fontId="15" fillId="8" borderId="1" xfId="0" applyFont="1" applyFill="1" applyBorder="1" applyAlignment="1">
      <alignment horizontal="left" vertical="center" wrapText="1"/>
    </xf>
    <xf numFmtId="165" fontId="16" fillId="8" borderId="1" xfId="0" applyNumberFormat="1" applyFont="1" applyFill="1" applyBorder="1" applyAlignment="1">
      <alignment horizontal="center" vertical="center" wrapText="1"/>
    </xf>
    <xf numFmtId="164" fontId="16" fillId="8" borderId="1" xfId="0" applyNumberFormat="1" applyFont="1" applyFill="1" applyBorder="1" applyAlignment="1">
      <alignment horizontal="right" vertical="center" wrapText="1"/>
    </xf>
    <xf numFmtId="165" fontId="17" fillId="8" borderId="1" xfId="0" applyNumberFormat="1" applyFont="1" applyFill="1" applyBorder="1" applyAlignment="1">
      <alignment horizontal="center" vertical="center" wrapText="1"/>
    </xf>
    <xf numFmtId="164" fontId="17" fillId="8" borderId="1" xfId="0" applyNumberFormat="1" applyFont="1" applyFill="1" applyBorder="1" applyAlignment="1">
      <alignment horizontal="right" vertical="center" wrapText="1"/>
    </xf>
    <xf numFmtId="165" fontId="15" fillId="8" borderId="1" xfId="0" applyNumberFormat="1" applyFont="1" applyFill="1" applyBorder="1" applyAlignment="1">
      <alignment horizontal="center" vertical="center" wrapText="1"/>
    </xf>
    <xf numFmtId="164" fontId="15" fillId="8" borderId="1" xfId="0" applyNumberFormat="1" applyFont="1" applyFill="1" applyBorder="1" applyAlignment="1">
      <alignment horizontal="right" vertical="center" wrapText="1"/>
    </xf>
    <xf numFmtId="0" fontId="15" fillId="5" borderId="1" xfId="0" applyFont="1" applyFill="1" applyBorder="1" applyAlignment="1">
      <alignment horizontal="left" vertical="center" wrapText="1"/>
    </xf>
    <xf numFmtId="165" fontId="15" fillId="5" borderId="1" xfId="0" applyNumberFormat="1" applyFont="1" applyFill="1" applyBorder="1" applyAlignment="1">
      <alignment horizontal="center" vertical="center" wrapText="1"/>
    </xf>
    <xf numFmtId="164" fontId="15" fillId="5" borderId="1" xfId="0" applyNumberFormat="1" applyFont="1" applyFill="1" applyBorder="1" applyAlignment="1">
      <alignment horizontal="right" vertical="center" wrapText="1"/>
    </xf>
    <xf numFmtId="165" fontId="17" fillId="5" borderId="1" xfId="0" applyNumberFormat="1" applyFont="1" applyFill="1" applyBorder="1" applyAlignment="1">
      <alignment horizontal="center" vertical="center" wrapText="1"/>
    </xf>
    <xf numFmtId="164" fontId="17" fillId="5" borderId="1" xfId="0" applyNumberFormat="1" applyFont="1" applyFill="1" applyBorder="1" applyAlignment="1">
      <alignment horizontal="right" vertical="center" wrapText="1"/>
    </xf>
    <xf numFmtId="165" fontId="16" fillId="5" borderId="1" xfId="0" applyNumberFormat="1" applyFont="1" applyFill="1" applyBorder="1" applyAlignment="1">
      <alignment horizontal="center" vertical="center" wrapText="1"/>
    </xf>
    <xf numFmtId="164" fontId="16" fillId="5" borderId="1" xfId="0" applyNumberFormat="1" applyFont="1" applyFill="1" applyBorder="1" applyAlignment="1">
      <alignment horizontal="right" vertical="center" wrapText="1"/>
    </xf>
    <xf numFmtId="0" fontId="18" fillId="2" borderId="1" xfId="0" applyFont="1" applyFill="1" applyBorder="1" applyAlignment="1">
      <alignment horizontal="center" vertical="center"/>
    </xf>
    <xf numFmtId="165" fontId="18" fillId="2" borderId="1" xfId="0" applyNumberFormat="1" applyFont="1" applyFill="1" applyBorder="1" applyAlignment="1">
      <alignment horizontal="center" vertical="center"/>
    </xf>
    <xf numFmtId="164" fontId="18" fillId="2" borderId="1" xfId="0" applyNumberFormat="1" applyFont="1" applyFill="1" applyBorder="1" applyAlignment="1">
      <alignment horizontal="center" vertical="center"/>
    </xf>
    <xf numFmtId="0" fontId="15" fillId="8"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164" fontId="11" fillId="7" borderId="1" xfId="0" applyNumberFormat="1" applyFont="1" applyFill="1" applyBorder="1" applyAlignment="1">
      <alignment horizontal="right" vertical="center"/>
    </xf>
    <xf numFmtId="0" fontId="20" fillId="8"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164" fontId="19" fillId="7" borderId="1" xfId="0" applyNumberFormat="1" applyFont="1" applyFill="1" applyBorder="1" applyAlignment="1">
      <alignment horizontal="right" vertical="center"/>
    </xf>
    <xf numFmtId="165" fontId="11" fillId="7" borderId="1" xfId="0" applyNumberFormat="1" applyFont="1" applyFill="1" applyBorder="1" applyAlignment="1">
      <alignment horizontal="right" vertical="center"/>
    </xf>
    <xf numFmtId="165" fontId="8" fillId="7" borderId="1" xfId="0" applyNumberFormat="1" applyFont="1" applyFill="1" applyBorder="1" applyAlignment="1">
      <alignment horizontal="right" vertical="center"/>
    </xf>
    <xf numFmtId="164" fontId="13" fillId="7" borderId="1" xfId="0" applyNumberFormat="1" applyFont="1" applyFill="1" applyBorder="1" applyAlignment="1">
      <alignment horizontal="right" vertical="center"/>
    </xf>
    <xf numFmtId="164" fontId="12" fillId="7" borderId="1" xfId="0" applyNumberFormat="1" applyFont="1" applyFill="1" applyBorder="1" applyAlignment="1">
      <alignment horizontal="right" vertical="center"/>
    </xf>
    <xf numFmtId="164" fontId="14" fillId="7" borderId="1" xfId="0" applyNumberFormat="1" applyFont="1" applyFill="1" applyBorder="1" applyAlignment="1">
      <alignment horizontal="right" vertical="center"/>
    </xf>
    <xf numFmtId="164" fontId="13" fillId="5" borderId="1" xfId="0" applyNumberFormat="1" applyFont="1" applyFill="1" applyBorder="1" applyAlignment="1">
      <alignment horizontal="right" vertical="center" wrapText="1"/>
    </xf>
    <xf numFmtId="164" fontId="13" fillId="8" borderId="1" xfId="0" applyNumberFormat="1" applyFont="1" applyFill="1" applyBorder="1" applyAlignment="1">
      <alignment horizontal="right" vertical="center" wrapText="1"/>
    </xf>
    <xf numFmtId="0" fontId="11" fillId="5" borderId="1" xfId="0" applyFont="1" applyFill="1" applyBorder="1" applyAlignment="1">
      <alignment horizontal="right" vertical="center" wrapText="1"/>
    </xf>
    <xf numFmtId="0" fontId="11" fillId="8" borderId="1" xfId="0" applyFont="1" applyFill="1" applyBorder="1" applyAlignment="1">
      <alignment horizontal="right" vertical="center" wrapText="1"/>
    </xf>
    <xf numFmtId="0" fontId="11" fillId="8" borderId="1" xfId="0" applyFont="1" applyFill="1" applyBorder="1" applyAlignment="1">
      <alignment horizontal="center" vertical="center" wrapText="1"/>
    </xf>
    <xf numFmtId="164" fontId="14" fillId="7" borderId="1" xfId="0" applyNumberFormat="1" applyFont="1" applyFill="1" applyBorder="1" applyAlignment="1">
      <alignment horizontal="center" vertical="center"/>
    </xf>
    <xf numFmtId="164" fontId="11" fillId="7" borderId="1" xfId="0" applyNumberFormat="1" applyFont="1" applyFill="1" applyBorder="1" applyAlignment="1">
      <alignment horizontal="center" vertical="center"/>
    </xf>
    <xf numFmtId="165" fontId="11" fillId="7" borderId="1" xfId="0" applyNumberFormat="1" applyFont="1" applyFill="1" applyBorder="1" applyAlignment="1">
      <alignment horizontal="center" vertical="center"/>
    </xf>
    <xf numFmtId="9" fontId="14" fillId="7" borderId="1" xfId="0" applyNumberFormat="1" applyFont="1" applyFill="1" applyBorder="1" applyAlignment="1">
      <alignment horizontal="center" vertical="center"/>
    </xf>
    <xf numFmtId="10" fontId="11" fillId="7" borderId="1" xfId="0" applyNumberFormat="1" applyFont="1" applyFill="1" applyBorder="1" applyAlignment="1">
      <alignment horizontal="center" vertical="center"/>
    </xf>
    <xf numFmtId="10" fontId="14" fillId="7" borderId="1" xfId="0" applyNumberFormat="1" applyFont="1" applyFill="1" applyBorder="1" applyAlignment="1">
      <alignment horizontal="center" vertical="center"/>
    </xf>
    <xf numFmtId="0" fontId="11" fillId="5" borderId="1" xfId="0"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164" fontId="11" fillId="8" borderId="1" xfId="0" applyNumberFormat="1" applyFont="1" applyFill="1" applyBorder="1" applyAlignment="1">
      <alignment horizontal="center" vertical="center" wrapText="1"/>
    </xf>
    <xf numFmtId="164" fontId="8" fillId="7" borderId="1" xfId="0" applyNumberFormat="1" applyFont="1" applyFill="1" applyBorder="1" applyAlignment="1">
      <alignment horizontal="right" vertical="center"/>
    </xf>
    <xf numFmtId="164" fontId="8" fillId="8"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xf>
    <xf numFmtId="165" fontId="19" fillId="7" borderId="1" xfId="0" applyNumberFormat="1" applyFont="1" applyFill="1" applyBorder="1" applyAlignment="1">
      <alignment horizontal="center" vertical="center"/>
    </xf>
    <xf numFmtId="0" fontId="19" fillId="7" borderId="1" xfId="0" applyFont="1" applyFill="1" applyBorder="1" applyAlignment="1">
      <alignment horizontal="center" vertical="center"/>
    </xf>
    <xf numFmtId="164" fontId="12" fillId="7" borderId="1" xfId="0" applyNumberFormat="1" applyFont="1" applyFill="1" applyBorder="1" applyAlignment="1">
      <alignment horizontal="center" vertical="center"/>
    </xf>
    <xf numFmtId="164" fontId="13" fillId="7" borderId="1" xfId="0" applyNumberFormat="1" applyFont="1" applyFill="1" applyBorder="1" applyAlignment="1">
      <alignment horizontal="center" vertical="center"/>
    </xf>
    <xf numFmtId="164" fontId="4" fillId="7" borderId="1" xfId="0" applyNumberFormat="1" applyFont="1" applyFill="1" applyBorder="1" applyAlignment="1">
      <alignment horizontal="center" vertical="center"/>
    </xf>
    <xf numFmtId="165" fontId="12" fillId="7" borderId="1" xfId="0" applyNumberFormat="1" applyFont="1" applyFill="1" applyBorder="1" applyAlignment="1">
      <alignment horizontal="center" vertical="center"/>
    </xf>
    <xf numFmtId="165" fontId="4" fillId="7" borderId="1" xfId="0" applyNumberFormat="1" applyFont="1" applyFill="1" applyBorder="1" applyAlignment="1">
      <alignment horizontal="center" vertical="center"/>
    </xf>
    <xf numFmtId="165" fontId="13" fillId="7" borderId="1" xfId="0" applyNumberFormat="1" applyFont="1" applyFill="1" applyBorder="1" applyAlignment="1">
      <alignment horizontal="center" vertical="center"/>
    </xf>
    <xf numFmtId="0" fontId="4" fillId="8" borderId="1" xfId="0" applyFont="1" applyFill="1" applyBorder="1" applyAlignment="1">
      <alignment horizontal="center" vertical="center" wrapText="1"/>
    </xf>
    <xf numFmtId="0" fontId="22" fillId="5" borderId="1"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23"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164" fontId="4" fillId="7" borderId="1" xfId="0" applyNumberFormat="1" applyFont="1" applyFill="1" applyBorder="1" applyAlignment="1">
      <alignment horizontal="right" vertical="center"/>
    </xf>
    <xf numFmtId="0" fontId="24" fillId="5"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24" fillId="8" borderId="1" xfId="0" applyFont="1" applyFill="1" applyBorder="1" applyAlignment="1">
      <alignment horizontal="left" vertical="center" wrapText="1"/>
    </xf>
    <xf numFmtId="1" fontId="18" fillId="2" borderId="1" xfId="0" applyNumberFormat="1" applyFont="1" applyFill="1" applyBorder="1" applyAlignment="1">
      <alignment horizontal="center" vertical="center"/>
    </xf>
    <xf numFmtId="0" fontId="9" fillId="8" borderId="1" xfId="0" applyFont="1" applyFill="1" applyBorder="1" applyAlignment="1">
      <alignment horizontal="left" vertical="center" wrapText="1"/>
    </xf>
    <xf numFmtId="164" fontId="11" fillId="8" borderId="1" xfId="0" applyNumberFormat="1" applyFont="1" applyFill="1" applyBorder="1" applyAlignment="1">
      <alignment horizontal="right" vertical="center" wrapText="1"/>
    </xf>
    <xf numFmtId="0" fontId="9" fillId="8"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2" fillId="2" borderId="0" xfId="0" applyFont="1" applyFill="1" applyAlignment="1">
      <alignment horizontal="center" vertical="center" wrapText="1"/>
    </xf>
    <xf numFmtId="0" fontId="0" fillId="0" borderId="0" xfId="0"/>
    <xf numFmtId="0" fontId="4" fillId="4" borderId="0" xfId="0" applyFont="1" applyFill="1" applyAlignment="1">
      <alignment horizontal="left" vertical="center"/>
    </xf>
    <xf numFmtId="0" fontId="10" fillId="0" borderId="0" xfId="0" applyFont="1" applyAlignment="1">
      <alignment horizontal="left" vertical="center" wrapText="1"/>
    </xf>
    <xf numFmtId="0" fontId="1" fillId="2" borderId="0" xfId="0" applyFont="1" applyFill="1" applyAlignment="1">
      <alignment horizontal="center" vertical="center" wrapText="1"/>
    </xf>
    <xf numFmtId="0" fontId="11" fillId="5"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164" fontId="11" fillId="5" borderId="1" xfId="0" applyNumberFormat="1" applyFont="1" applyFill="1" applyBorder="1" applyAlignment="1">
      <alignment horizontal="left" vertical="center"/>
    </xf>
    <xf numFmtId="0" fontId="3" fillId="3" borderId="1" xfId="0" applyFont="1" applyFill="1" applyBorder="1" applyAlignment="1">
      <alignment horizontal="center" vertical="center" wrapText="1"/>
    </xf>
    <xf numFmtId="0" fontId="0" fillId="0" borderId="3" xfId="0" applyBorder="1"/>
    <xf numFmtId="0" fontId="0" fillId="0" borderId="4" xfId="0" applyBorder="1"/>
    <xf numFmtId="0" fontId="20" fillId="8"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1" fillId="5"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8A84B"/>
  </sheetPr>
  <dimension ref="A1:F53"/>
  <sheetViews>
    <sheetView showGridLines="0" tabSelected="1" workbookViewId="0">
      <selection activeCell="J12" sqref="J12"/>
    </sheetView>
  </sheetViews>
  <sheetFormatPr baseColWidth="10" defaultColWidth="8.83203125" defaultRowHeight="15" x14ac:dyDescent="0.2"/>
  <cols>
    <col min="1" max="1" width="3" customWidth="1"/>
    <col min="2" max="2" width="36" customWidth="1"/>
    <col min="3" max="3" width="22" customWidth="1"/>
    <col min="4" max="4" width="14" customWidth="1"/>
    <col min="5" max="5" width="42" customWidth="1"/>
    <col min="6" max="6" width="3" customWidth="1"/>
  </cols>
  <sheetData>
    <row r="1" spans="1:6" ht="30" customHeight="1" x14ac:dyDescent="0.2">
      <c r="A1" s="101" t="s">
        <v>433</v>
      </c>
      <c r="B1" s="98"/>
      <c r="C1" s="98"/>
      <c r="D1" s="98"/>
      <c r="E1" s="98"/>
      <c r="F1" s="98"/>
    </row>
    <row r="2" spans="1:6" ht="22" customHeight="1" x14ac:dyDescent="0.2">
      <c r="A2" s="97" t="s">
        <v>434</v>
      </c>
      <c r="B2" s="98"/>
      <c r="C2" s="98"/>
      <c r="D2" s="98"/>
      <c r="E2" s="98"/>
      <c r="F2" s="98"/>
    </row>
    <row r="3" spans="1:6" ht="8" customHeight="1" x14ac:dyDescent="0.2"/>
    <row r="4" spans="1:6" ht="18" customHeight="1" x14ac:dyDescent="0.2">
      <c r="B4" s="1" t="s">
        <v>0</v>
      </c>
      <c r="C4" s="1" t="s">
        <v>432</v>
      </c>
      <c r="D4" s="1" t="s">
        <v>1</v>
      </c>
      <c r="E4" s="1" t="s">
        <v>2</v>
      </c>
    </row>
    <row r="5" spans="1:6" ht="18" customHeight="1" x14ac:dyDescent="0.2">
      <c r="B5" s="99" t="s">
        <v>3</v>
      </c>
      <c r="C5" s="98"/>
      <c r="D5" s="98"/>
      <c r="E5" s="98"/>
    </row>
    <row r="6" spans="1:6" ht="16" customHeight="1" x14ac:dyDescent="0.2">
      <c r="B6" s="2" t="s">
        <v>4</v>
      </c>
      <c r="C6" s="3">
        <v>25000000</v>
      </c>
      <c r="D6" s="4" t="s">
        <v>5</v>
      </c>
      <c r="E6" s="5" t="s">
        <v>6</v>
      </c>
    </row>
    <row r="7" spans="1:6" ht="16" customHeight="1" x14ac:dyDescent="0.2">
      <c r="B7" s="2" t="s">
        <v>7</v>
      </c>
      <c r="C7" s="3">
        <v>6500000</v>
      </c>
      <c r="D7" s="4" t="s">
        <v>5</v>
      </c>
      <c r="E7" s="5" t="s">
        <v>8</v>
      </c>
    </row>
    <row r="8" spans="1:6" ht="16" customHeight="1" x14ac:dyDescent="0.2">
      <c r="B8" s="2" t="s">
        <v>9</v>
      </c>
      <c r="C8" s="6">
        <v>0.9</v>
      </c>
      <c r="D8" s="4" t="s">
        <v>10</v>
      </c>
      <c r="E8" s="5" t="s">
        <v>11</v>
      </c>
    </row>
    <row r="9" spans="1:6" ht="16" customHeight="1" x14ac:dyDescent="0.2">
      <c r="B9" s="2" t="s">
        <v>12</v>
      </c>
      <c r="C9" s="6">
        <v>0.1</v>
      </c>
      <c r="D9" s="4" t="s">
        <v>10</v>
      </c>
      <c r="E9" s="5" t="s">
        <v>13</v>
      </c>
    </row>
    <row r="10" spans="1:6" ht="8" customHeight="1" x14ac:dyDescent="0.2"/>
    <row r="11" spans="1:6" ht="18" customHeight="1" x14ac:dyDescent="0.2">
      <c r="B11" s="99" t="s">
        <v>14</v>
      </c>
      <c r="C11" s="98"/>
      <c r="D11" s="98"/>
      <c r="E11" s="98"/>
    </row>
    <row r="12" spans="1:6" ht="16" customHeight="1" x14ac:dyDescent="0.2">
      <c r="B12" s="2" t="s">
        <v>15</v>
      </c>
      <c r="C12" s="7">
        <v>0.2</v>
      </c>
      <c r="D12" s="4" t="s">
        <v>10</v>
      </c>
      <c r="E12" s="5" t="s">
        <v>16</v>
      </c>
    </row>
    <row r="13" spans="1:6" ht="16" customHeight="1" x14ac:dyDescent="0.2">
      <c r="B13" s="2" t="s">
        <v>17</v>
      </c>
      <c r="C13" s="7">
        <v>3.7999999999999999E-2</v>
      </c>
      <c r="D13" s="4" t="s">
        <v>10</v>
      </c>
      <c r="E13" s="5" t="s">
        <v>18</v>
      </c>
    </row>
    <row r="14" spans="1:6" ht="16" customHeight="1" x14ac:dyDescent="0.2">
      <c r="B14" s="2" t="s">
        <v>19</v>
      </c>
      <c r="C14" s="7">
        <v>0.13300000000000001</v>
      </c>
      <c r="D14" s="4" t="s">
        <v>10</v>
      </c>
      <c r="E14" s="5" t="s">
        <v>20</v>
      </c>
    </row>
    <row r="15" spans="1:6" ht="16" customHeight="1" x14ac:dyDescent="0.2">
      <c r="B15" s="2" t="s">
        <v>21</v>
      </c>
      <c r="C15" s="7">
        <v>0.37</v>
      </c>
      <c r="D15" s="4" t="s">
        <v>10</v>
      </c>
      <c r="E15" s="5" t="s">
        <v>22</v>
      </c>
    </row>
    <row r="16" spans="1:6" ht="16" customHeight="1" x14ac:dyDescent="0.2">
      <c r="B16" s="2" t="s">
        <v>23</v>
      </c>
      <c r="C16" s="3">
        <v>850000</v>
      </c>
      <c r="D16" s="4" t="s">
        <v>5</v>
      </c>
      <c r="E16" s="5" t="s">
        <v>24</v>
      </c>
    </row>
    <row r="17" spans="2:5" ht="8" customHeight="1" x14ac:dyDescent="0.2"/>
    <row r="18" spans="2:5" ht="18" customHeight="1" x14ac:dyDescent="0.2">
      <c r="B18" s="99" t="s">
        <v>25</v>
      </c>
      <c r="C18" s="98"/>
      <c r="D18" s="98"/>
      <c r="E18" s="98"/>
    </row>
    <row r="19" spans="2:5" ht="16" customHeight="1" x14ac:dyDescent="0.2">
      <c r="B19" s="2" t="s">
        <v>26</v>
      </c>
      <c r="C19" s="8">
        <v>5</v>
      </c>
      <c r="D19" s="4" t="s">
        <v>27</v>
      </c>
      <c r="E19" s="5" t="s">
        <v>28</v>
      </c>
    </row>
    <row r="20" spans="2:5" ht="16" customHeight="1" x14ac:dyDescent="0.2">
      <c r="B20" s="2" t="s">
        <v>29</v>
      </c>
      <c r="C20" s="3">
        <v>4500000</v>
      </c>
      <c r="D20" s="4" t="s">
        <v>5</v>
      </c>
      <c r="E20" s="5" t="s">
        <v>30</v>
      </c>
    </row>
    <row r="21" spans="2:5" ht="8" customHeight="1" x14ac:dyDescent="0.2"/>
    <row r="22" spans="2:5" ht="18" customHeight="1" x14ac:dyDescent="0.2">
      <c r="B22" s="99" t="s">
        <v>31</v>
      </c>
      <c r="C22" s="98"/>
      <c r="D22" s="98"/>
      <c r="E22" s="98"/>
    </row>
    <row r="23" spans="2:5" ht="27" customHeight="1" x14ac:dyDescent="0.2">
      <c r="B23" s="2" t="s">
        <v>32</v>
      </c>
      <c r="C23" s="3">
        <v>5000000</v>
      </c>
      <c r="D23" s="4" t="s">
        <v>5</v>
      </c>
      <c r="E23" s="5" t="s">
        <v>33</v>
      </c>
    </row>
    <row r="24" spans="2:5" ht="16" customHeight="1" x14ac:dyDescent="0.2">
      <c r="B24" s="2" t="s">
        <v>34</v>
      </c>
      <c r="C24" s="3">
        <v>15000000</v>
      </c>
      <c r="D24" s="4" t="s">
        <v>5</v>
      </c>
      <c r="E24" s="5" t="s">
        <v>35</v>
      </c>
    </row>
    <row r="25" spans="2:5" ht="16" customHeight="1" x14ac:dyDescent="0.2">
      <c r="B25" s="2" t="s">
        <v>36</v>
      </c>
      <c r="C25" s="9">
        <v>4.4999999999999998E-2</v>
      </c>
      <c r="D25" s="4" t="s">
        <v>10</v>
      </c>
      <c r="E25" s="5" t="s">
        <v>37</v>
      </c>
    </row>
    <row r="26" spans="2:5" ht="16" customHeight="1" x14ac:dyDescent="0.2">
      <c r="B26" s="2" t="s">
        <v>38</v>
      </c>
      <c r="C26" s="9">
        <v>0.02</v>
      </c>
      <c r="D26" s="4" t="s">
        <v>10</v>
      </c>
      <c r="E26" s="5" t="s">
        <v>39</v>
      </c>
    </row>
    <row r="27" spans="2:5" ht="16" customHeight="1" x14ac:dyDescent="0.2">
      <c r="B27" s="2" t="s">
        <v>40</v>
      </c>
      <c r="C27" s="6">
        <v>0.4</v>
      </c>
      <c r="D27" s="4" t="s">
        <v>10</v>
      </c>
      <c r="E27" s="5" t="s">
        <v>41</v>
      </c>
    </row>
    <row r="28" spans="2:5" ht="8" customHeight="1" x14ac:dyDescent="0.2"/>
    <row r="29" spans="2:5" ht="18" customHeight="1" x14ac:dyDescent="0.2">
      <c r="B29" s="99" t="s">
        <v>42</v>
      </c>
      <c r="C29" s="98"/>
      <c r="D29" s="98"/>
      <c r="E29" s="98"/>
    </row>
    <row r="30" spans="2:5" ht="16" customHeight="1" x14ac:dyDescent="0.2">
      <c r="B30" s="2" t="s">
        <v>43</v>
      </c>
      <c r="C30" s="7">
        <v>0.05</v>
      </c>
      <c r="D30" s="4" t="s">
        <v>10</v>
      </c>
      <c r="E30" s="5" t="s">
        <v>44</v>
      </c>
    </row>
    <row r="31" spans="2:5" ht="16" customHeight="1" x14ac:dyDescent="0.2">
      <c r="B31" s="2" t="s">
        <v>45</v>
      </c>
      <c r="C31" s="7">
        <v>9.8000000000000004E-2</v>
      </c>
      <c r="D31" s="4" t="s">
        <v>10</v>
      </c>
      <c r="E31" s="5" t="s">
        <v>46</v>
      </c>
    </row>
    <row r="32" spans="2:5" ht="16" customHeight="1" x14ac:dyDescent="0.2">
      <c r="B32" s="2" t="s">
        <v>47</v>
      </c>
      <c r="C32" s="7">
        <v>0.13500000000000001</v>
      </c>
      <c r="D32" s="4" t="s">
        <v>10</v>
      </c>
      <c r="E32" s="5" t="s">
        <v>48</v>
      </c>
    </row>
    <row r="33" spans="2:5" ht="16" customHeight="1" x14ac:dyDescent="0.2">
      <c r="B33" s="2" t="s">
        <v>49</v>
      </c>
      <c r="C33" s="7">
        <v>0.02</v>
      </c>
      <c r="D33" s="4" t="s">
        <v>10</v>
      </c>
      <c r="E33" s="5" t="s">
        <v>50</v>
      </c>
    </row>
    <row r="34" spans="2:5" ht="16" customHeight="1" x14ac:dyDescent="0.2">
      <c r="B34" s="2" t="s">
        <v>51</v>
      </c>
      <c r="C34" s="8">
        <v>20</v>
      </c>
      <c r="D34" s="4" t="s">
        <v>52</v>
      </c>
      <c r="E34" s="5" t="s">
        <v>53</v>
      </c>
    </row>
    <row r="35" spans="2:5" ht="16" customHeight="1" x14ac:dyDescent="0.2">
      <c r="B35" s="2" t="s">
        <v>54</v>
      </c>
      <c r="C35" s="3">
        <v>10000000</v>
      </c>
      <c r="D35" s="4" t="s">
        <v>5</v>
      </c>
      <c r="E35" s="5" t="s">
        <v>55</v>
      </c>
    </row>
    <row r="36" spans="2:5" ht="16" customHeight="1" x14ac:dyDescent="0.2">
      <c r="B36" s="2" t="s">
        <v>56</v>
      </c>
      <c r="C36" s="7">
        <v>7.4999999999999997E-2</v>
      </c>
      <c r="D36" s="4" t="s">
        <v>10</v>
      </c>
      <c r="E36" s="5" t="s">
        <v>57</v>
      </c>
    </row>
    <row r="37" spans="2:5" ht="16" customHeight="1" x14ac:dyDescent="0.2">
      <c r="B37" s="2" t="s">
        <v>58</v>
      </c>
      <c r="C37" s="7">
        <v>0.05</v>
      </c>
      <c r="D37" s="4" t="s">
        <v>10</v>
      </c>
      <c r="E37" s="5" t="s">
        <v>59</v>
      </c>
    </row>
    <row r="38" spans="2:5" ht="28" customHeight="1" x14ac:dyDescent="0.2">
      <c r="B38" s="2" t="s">
        <v>60</v>
      </c>
      <c r="C38" s="3">
        <v>70760</v>
      </c>
      <c r="D38" s="4" t="s">
        <v>5</v>
      </c>
      <c r="E38" s="5" t="s">
        <v>61</v>
      </c>
    </row>
    <row r="39" spans="2:5" ht="18" customHeight="1" x14ac:dyDescent="0.2">
      <c r="B39" s="99" t="s">
        <v>62</v>
      </c>
      <c r="C39" s="98"/>
      <c r="D39" s="98"/>
      <c r="E39" s="98"/>
    </row>
    <row r="40" spans="2:5" ht="15" customHeight="1" x14ac:dyDescent="0.2">
      <c r="B40" s="10" t="s">
        <v>63</v>
      </c>
      <c r="C40" s="11">
        <f>C6-C7</f>
        <v>18500000</v>
      </c>
      <c r="E40" s="5" t="s">
        <v>64</v>
      </c>
    </row>
    <row r="41" spans="2:5" ht="15" customHeight="1" x14ac:dyDescent="0.2">
      <c r="B41" s="10" t="s">
        <v>65</v>
      </c>
      <c r="C41" s="12">
        <f>C12+C13+C14</f>
        <v>0.371</v>
      </c>
      <c r="E41" s="5" t="s">
        <v>66</v>
      </c>
    </row>
    <row r="42" spans="2:5" ht="15" customHeight="1" x14ac:dyDescent="0.2">
      <c r="B42" s="10" t="s">
        <v>67</v>
      </c>
      <c r="C42" s="11">
        <f>(C6-C7)*(C12+C13+C14)</f>
        <v>6863500</v>
      </c>
      <c r="E42" s="5" t="s">
        <v>68</v>
      </c>
    </row>
    <row r="43" spans="2:5" ht="15" customHeight="1" x14ac:dyDescent="0.2">
      <c r="B43" s="10" t="s">
        <v>69</v>
      </c>
      <c r="C43" s="11">
        <f>(C6-C7)*(C12+C13+C14)-C16</f>
        <v>6013500</v>
      </c>
      <c r="E43" s="5" t="s">
        <v>70</v>
      </c>
    </row>
    <row r="44" spans="2:5" ht="15" customHeight="1" x14ac:dyDescent="0.2">
      <c r="B44" s="10" t="s">
        <v>71</v>
      </c>
      <c r="C44" s="12">
        <f>C25+C26</f>
        <v>6.5000000000000002E-2</v>
      </c>
      <c r="E44" s="5" t="s">
        <v>72</v>
      </c>
    </row>
    <row r="45" spans="2:5" ht="15" customHeight="1" x14ac:dyDescent="0.2">
      <c r="B45" s="10" t="s">
        <v>73</v>
      </c>
      <c r="C45" s="12">
        <f>(C25+C26)*(1-C15)</f>
        <v>4.095E-2</v>
      </c>
      <c r="E45" s="5" t="s">
        <v>74</v>
      </c>
    </row>
    <row r="46" spans="2:5" ht="15" customHeight="1" x14ac:dyDescent="0.2">
      <c r="B46" s="10" t="s">
        <v>75</v>
      </c>
      <c r="C46" s="11">
        <f>C23*(C25+C26)</f>
        <v>325000</v>
      </c>
      <c r="E46" s="5" t="s">
        <v>76</v>
      </c>
    </row>
    <row r="47" spans="2:5" ht="15" customHeight="1" x14ac:dyDescent="0.2">
      <c r="B47" s="10" t="s">
        <v>77</v>
      </c>
      <c r="C47" s="11">
        <f>C23*(C25+C26)*(1-C15)</f>
        <v>204750</v>
      </c>
      <c r="E47" s="5" t="s">
        <v>78</v>
      </c>
    </row>
    <row r="48" spans="2:5" ht="15" customHeight="1" x14ac:dyDescent="0.2">
      <c r="B48" s="10" t="s">
        <v>79</v>
      </c>
      <c r="C48" s="11">
        <f>C6-((C6-C7)*(C12+C13+C14)-C16)</f>
        <v>18986500</v>
      </c>
      <c r="E48" s="5" t="s">
        <v>80</v>
      </c>
    </row>
    <row r="49" spans="2:5" ht="15" customHeight="1" x14ac:dyDescent="0.2">
      <c r="B49" s="10" t="s">
        <v>81</v>
      </c>
      <c r="C49" s="12">
        <f>C30-C33</f>
        <v>3.0000000000000002E-2</v>
      </c>
      <c r="E49" s="5" t="s">
        <v>82</v>
      </c>
    </row>
    <row r="50" spans="2:5" ht="15" customHeight="1" x14ac:dyDescent="0.2">
      <c r="B50" s="10" t="s">
        <v>83</v>
      </c>
      <c r="C50" s="12">
        <f>C31-C33</f>
        <v>7.8E-2</v>
      </c>
      <c r="E50" s="5" t="s">
        <v>84</v>
      </c>
    </row>
    <row r="51" spans="2:5" ht="15" customHeight="1" x14ac:dyDescent="0.2">
      <c r="B51" s="10" t="s">
        <v>85</v>
      </c>
      <c r="C51" s="12">
        <f>C32-C33</f>
        <v>0.115</v>
      </c>
      <c r="E51" s="5" t="s">
        <v>86</v>
      </c>
    </row>
    <row r="52" spans="2:5" ht="8" customHeight="1" x14ac:dyDescent="0.2"/>
    <row r="53" spans="2:5" ht="28" customHeight="1" x14ac:dyDescent="0.2">
      <c r="B53" s="100" t="s">
        <v>435</v>
      </c>
      <c r="C53" s="98"/>
      <c r="D53" s="98"/>
      <c r="E53" s="98"/>
    </row>
  </sheetData>
  <mergeCells count="9">
    <mergeCell ref="A2:F2"/>
    <mergeCell ref="B18:E18"/>
    <mergeCell ref="B53:E53"/>
    <mergeCell ref="A1:F1"/>
    <mergeCell ref="B29:E29"/>
    <mergeCell ref="B39:E39"/>
    <mergeCell ref="B11:E11"/>
    <mergeCell ref="B5:E5"/>
    <mergeCell ref="B22:E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D72"/>
  </sheetPr>
  <dimension ref="A1:F31"/>
  <sheetViews>
    <sheetView showGridLines="0" workbookViewId="0">
      <selection activeCell="E19" sqref="E19"/>
    </sheetView>
  </sheetViews>
  <sheetFormatPr baseColWidth="10" defaultColWidth="8.83203125" defaultRowHeight="15" x14ac:dyDescent="0.2"/>
  <cols>
    <col min="1" max="1" width="3" customWidth="1"/>
    <col min="2" max="2" width="30" customWidth="1"/>
    <col min="3" max="5" width="20" customWidth="1"/>
    <col min="6" max="6" width="3" customWidth="1"/>
  </cols>
  <sheetData>
    <row r="1" spans="1:6" ht="30" customHeight="1" x14ac:dyDescent="0.2">
      <c r="A1" s="101" t="s">
        <v>87</v>
      </c>
      <c r="B1" s="98"/>
      <c r="C1" s="98"/>
      <c r="D1" s="98"/>
      <c r="E1" s="98"/>
      <c r="F1" s="98"/>
    </row>
    <row r="2" spans="1:6" ht="18" customHeight="1" x14ac:dyDescent="0.2">
      <c r="A2" s="97" t="s">
        <v>88</v>
      </c>
      <c r="B2" s="98"/>
      <c r="C2" s="98"/>
      <c r="D2" s="98"/>
      <c r="E2" s="98"/>
      <c r="F2" s="98"/>
    </row>
    <row r="3" spans="1:6" ht="8" customHeight="1" x14ac:dyDescent="0.2"/>
    <row r="4" spans="1:6" ht="18" customHeight="1" x14ac:dyDescent="0.2">
      <c r="B4" s="99" t="s">
        <v>89</v>
      </c>
      <c r="C4" s="98"/>
      <c r="D4" s="98"/>
      <c r="E4" s="98"/>
    </row>
    <row r="5" spans="1:6" ht="16" customHeight="1" x14ac:dyDescent="0.2">
      <c r="B5" s="13" t="s">
        <v>90</v>
      </c>
      <c r="C5" s="103" t="s">
        <v>91</v>
      </c>
      <c r="D5" s="98"/>
      <c r="E5" s="98"/>
    </row>
    <row r="6" spans="1:6" ht="16" customHeight="1" x14ac:dyDescent="0.2">
      <c r="B6" s="2" t="s">
        <v>4</v>
      </c>
      <c r="C6" s="104">
        <f>Inputs!C6</f>
        <v>25000000</v>
      </c>
      <c r="D6" s="98"/>
      <c r="E6" s="98"/>
    </row>
    <row r="7" spans="1:6" ht="16" customHeight="1" x14ac:dyDescent="0.2">
      <c r="B7" s="13" t="s">
        <v>92</v>
      </c>
      <c r="C7" s="103" t="s">
        <v>93</v>
      </c>
      <c r="D7" s="98"/>
      <c r="E7" s="98"/>
    </row>
    <row r="8" spans="1:6" ht="16" customHeight="1" x14ac:dyDescent="0.2">
      <c r="B8" s="2" t="s">
        <v>94</v>
      </c>
      <c r="C8" s="102" t="s">
        <v>95</v>
      </c>
      <c r="D8" s="98"/>
      <c r="E8" s="98"/>
    </row>
    <row r="9" spans="1:6" ht="16" customHeight="1" x14ac:dyDescent="0.2">
      <c r="B9" s="13" t="s">
        <v>96</v>
      </c>
      <c r="C9" s="103" t="s">
        <v>97</v>
      </c>
      <c r="D9" s="98"/>
      <c r="E9" s="98"/>
    </row>
    <row r="10" spans="1:6" ht="8" customHeight="1" x14ac:dyDescent="0.2"/>
    <row r="11" spans="1:6" ht="18" customHeight="1" x14ac:dyDescent="0.2">
      <c r="B11" s="99" t="s">
        <v>98</v>
      </c>
      <c r="C11" s="98"/>
      <c r="D11" s="98"/>
      <c r="E11" s="98"/>
    </row>
    <row r="12" spans="1:6" ht="16" customHeight="1" x14ac:dyDescent="0.2">
      <c r="B12" s="1" t="s">
        <v>99</v>
      </c>
      <c r="C12" s="1" t="s">
        <v>100</v>
      </c>
      <c r="D12" s="1" t="s">
        <v>101</v>
      </c>
      <c r="E12" s="1" t="s">
        <v>102</v>
      </c>
    </row>
    <row r="13" spans="1:6" ht="15" customHeight="1" x14ac:dyDescent="0.2">
      <c r="B13" s="16" t="s">
        <v>103</v>
      </c>
      <c r="C13" s="17" t="s">
        <v>104</v>
      </c>
      <c r="D13" s="18" t="s">
        <v>105</v>
      </c>
      <c r="E13" s="19" t="s">
        <v>106</v>
      </c>
    </row>
    <row r="14" spans="1:6" ht="15" customHeight="1" x14ac:dyDescent="0.2">
      <c r="B14" s="10" t="s">
        <v>107</v>
      </c>
      <c r="C14" s="20" t="s">
        <v>108</v>
      </c>
      <c r="D14" s="21" t="s">
        <v>109</v>
      </c>
      <c r="E14" s="22" t="s">
        <v>110</v>
      </c>
    </row>
    <row r="15" spans="1:6" ht="15" customHeight="1" x14ac:dyDescent="0.2">
      <c r="B15" s="16" t="s">
        <v>111</v>
      </c>
      <c r="C15" s="17" t="s">
        <v>112</v>
      </c>
      <c r="D15" s="18" t="s">
        <v>113</v>
      </c>
      <c r="E15" s="19" t="s">
        <v>114</v>
      </c>
    </row>
    <row r="16" spans="1:6" ht="15" customHeight="1" x14ac:dyDescent="0.2">
      <c r="B16" s="10" t="s">
        <v>115</v>
      </c>
      <c r="C16" s="20" t="s">
        <v>116</v>
      </c>
      <c r="D16" s="21" t="s">
        <v>117</v>
      </c>
      <c r="E16" s="22" t="s">
        <v>118</v>
      </c>
    </row>
    <row r="17" spans="2:5" ht="15" customHeight="1" x14ac:dyDescent="0.2">
      <c r="B17" s="16" t="s">
        <v>119</v>
      </c>
      <c r="C17" s="17" t="s">
        <v>120</v>
      </c>
      <c r="D17" s="18" t="s">
        <v>121</v>
      </c>
      <c r="E17" s="19" t="s">
        <v>122</v>
      </c>
    </row>
    <row r="18" spans="2:5" ht="15" customHeight="1" x14ac:dyDescent="0.2">
      <c r="B18" s="10" t="s">
        <v>123</v>
      </c>
      <c r="C18" s="20" t="s">
        <v>124</v>
      </c>
      <c r="D18" s="21" t="s">
        <v>125</v>
      </c>
      <c r="E18" s="22" t="s">
        <v>126</v>
      </c>
    </row>
    <row r="19" spans="2:5" ht="15" customHeight="1" x14ac:dyDescent="0.2">
      <c r="B19" s="16" t="s">
        <v>127</v>
      </c>
      <c r="C19" s="17" t="s">
        <v>128</v>
      </c>
      <c r="D19" s="18" t="s">
        <v>129</v>
      </c>
      <c r="E19" s="19" t="s">
        <v>130</v>
      </c>
    </row>
    <row r="20" spans="2:5" ht="15" customHeight="1" x14ac:dyDescent="0.2">
      <c r="B20" s="10" t="s">
        <v>131</v>
      </c>
      <c r="C20" s="20" t="s">
        <v>132</v>
      </c>
      <c r="D20" s="21" t="s">
        <v>125</v>
      </c>
      <c r="E20" s="22" t="s">
        <v>133</v>
      </c>
    </row>
    <row r="21" spans="2:5" ht="15" customHeight="1" x14ac:dyDescent="0.2">
      <c r="B21" s="16" t="s">
        <v>134</v>
      </c>
      <c r="C21" s="17" t="s">
        <v>135</v>
      </c>
      <c r="D21" s="18" t="s">
        <v>136</v>
      </c>
      <c r="E21" s="19" t="s">
        <v>137</v>
      </c>
    </row>
    <row r="22" spans="2:5" ht="8" customHeight="1" x14ac:dyDescent="0.2"/>
    <row r="23" spans="2:5" ht="18" customHeight="1" x14ac:dyDescent="0.2">
      <c r="B23" s="99" t="s">
        <v>138</v>
      </c>
      <c r="C23" s="98"/>
      <c r="D23" s="98"/>
      <c r="E23" s="98"/>
    </row>
    <row r="24" spans="2:5" ht="16" customHeight="1" x14ac:dyDescent="0.2">
      <c r="B24" s="1" t="s">
        <v>139</v>
      </c>
      <c r="C24" s="105" t="s">
        <v>140</v>
      </c>
      <c r="D24" s="106"/>
      <c r="E24" s="107"/>
    </row>
    <row r="25" spans="2:5" ht="38" customHeight="1" x14ac:dyDescent="0.2">
      <c r="B25" s="13" t="s">
        <v>141</v>
      </c>
      <c r="C25" s="103" t="s">
        <v>142</v>
      </c>
      <c r="D25" s="98"/>
      <c r="E25" s="98"/>
    </row>
    <row r="26" spans="2:5" ht="43" customHeight="1" x14ac:dyDescent="0.2">
      <c r="B26" s="2" t="s">
        <v>143</v>
      </c>
      <c r="C26" s="102" t="s">
        <v>144</v>
      </c>
      <c r="D26" s="98"/>
      <c r="E26" s="98"/>
    </row>
    <row r="27" spans="2:5" ht="45" customHeight="1" x14ac:dyDescent="0.2">
      <c r="B27" s="13" t="s">
        <v>145</v>
      </c>
      <c r="C27" s="103" t="s">
        <v>146</v>
      </c>
      <c r="D27" s="98"/>
      <c r="E27" s="98"/>
    </row>
    <row r="28" spans="2:5" ht="34" customHeight="1" x14ac:dyDescent="0.2">
      <c r="B28" s="2" t="s">
        <v>147</v>
      </c>
      <c r="C28" s="102" t="s">
        <v>148</v>
      </c>
      <c r="D28" s="98"/>
      <c r="E28" s="98"/>
    </row>
    <row r="29" spans="2:5" ht="42" customHeight="1" x14ac:dyDescent="0.2">
      <c r="B29" s="13" t="s">
        <v>149</v>
      </c>
      <c r="C29" s="103" t="s">
        <v>150</v>
      </c>
      <c r="D29" s="98"/>
      <c r="E29" s="98"/>
    </row>
    <row r="30" spans="2:5" ht="8" customHeight="1" x14ac:dyDescent="0.2"/>
    <row r="31" spans="2:5" ht="19" customHeight="1" x14ac:dyDescent="0.2">
      <c r="B31" s="100" t="s">
        <v>436</v>
      </c>
      <c r="C31" s="98"/>
      <c r="D31" s="98"/>
      <c r="E31" s="98"/>
    </row>
  </sheetData>
  <mergeCells count="17">
    <mergeCell ref="A1:F1"/>
    <mergeCell ref="C8:E8"/>
    <mergeCell ref="C9:E9"/>
    <mergeCell ref="B11:E11"/>
    <mergeCell ref="C26:E26"/>
    <mergeCell ref="C7:E7"/>
    <mergeCell ref="C25:E25"/>
    <mergeCell ref="C6:E6"/>
    <mergeCell ref="C24:E24"/>
    <mergeCell ref="A2:F2"/>
    <mergeCell ref="B23:E23"/>
    <mergeCell ref="B31:E31"/>
    <mergeCell ref="C28:E28"/>
    <mergeCell ref="C27:E27"/>
    <mergeCell ref="C5:E5"/>
    <mergeCell ref="B4:E4"/>
    <mergeCell ref="C29:E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5C99"/>
  </sheetPr>
  <dimension ref="A1:G42"/>
  <sheetViews>
    <sheetView showGridLines="0" workbookViewId="0">
      <selection sqref="A1:G1"/>
    </sheetView>
  </sheetViews>
  <sheetFormatPr baseColWidth="10" defaultColWidth="8.83203125" defaultRowHeight="15" x14ac:dyDescent="0.2"/>
  <cols>
    <col min="1" max="1" width="3" customWidth="1"/>
    <col min="2" max="2" width="28" customWidth="1"/>
    <col min="3" max="6" width="16" customWidth="1"/>
    <col min="7" max="7" width="3" customWidth="1"/>
  </cols>
  <sheetData>
    <row r="1" spans="1:7" ht="30" customHeight="1" x14ac:dyDescent="0.2">
      <c r="A1" s="101" t="s">
        <v>151</v>
      </c>
      <c r="B1" s="98"/>
      <c r="C1" s="98"/>
      <c r="D1" s="98"/>
      <c r="E1" s="98"/>
      <c r="F1" s="98"/>
      <c r="G1" s="98"/>
    </row>
    <row r="2" spans="1:7" ht="18" customHeight="1" x14ac:dyDescent="0.2">
      <c r="A2" s="97" t="s">
        <v>152</v>
      </c>
      <c r="B2" s="98"/>
      <c r="C2" s="98"/>
      <c r="D2" s="98"/>
      <c r="E2" s="98"/>
      <c r="F2" s="98"/>
      <c r="G2" s="98"/>
    </row>
    <row r="3" spans="1:7" ht="8" customHeight="1" x14ac:dyDescent="0.2"/>
    <row r="4" spans="1:7" ht="18" customHeight="1" x14ac:dyDescent="0.2">
      <c r="B4" s="99" t="s">
        <v>153</v>
      </c>
      <c r="C4" s="98"/>
      <c r="D4" s="98"/>
      <c r="E4" s="98"/>
      <c r="F4" s="98"/>
    </row>
    <row r="5" spans="1:7" ht="28" customHeight="1" x14ac:dyDescent="0.2">
      <c r="B5" s="1" t="s">
        <v>154</v>
      </c>
      <c r="C5" s="1" t="s">
        <v>155</v>
      </c>
      <c r="D5" s="1" t="s">
        <v>156</v>
      </c>
      <c r="E5" s="1" t="s">
        <v>157</v>
      </c>
      <c r="F5" s="1" t="s">
        <v>158</v>
      </c>
    </row>
    <row r="6" spans="1:7" ht="16" customHeight="1" x14ac:dyDescent="0.2">
      <c r="B6" s="23" t="s">
        <v>159</v>
      </c>
      <c r="C6" s="24">
        <v>0.1</v>
      </c>
      <c r="D6" s="25">
        <v>2500000</v>
      </c>
      <c r="E6" s="24">
        <v>0.02</v>
      </c>
      <c r="F6" s="25">
        <v>500000</v>
      </c>
    </row>
    <row r="7" spans="1:7" ht="13" customHeight="1" x14ac:dyDescent="0.2">
      <c r="B7" s="26" t="s">
        <v>160</v>
      </c>
      <c r="C7" s="27">
        <v>0.1</v>
      </c>
      <c r="D7" s="28">
        <v>2500000</v>
      </c>
      <c r="E7" s="29">
        <v>0.02</v>
      </c>
      <c r="F7" s="30">
        <v>500000</v>
      </c>
    </row>
    <row r="8" spans="1:7" ht="16" customHeight="1" x14ac:dyDescent="0.2">
      <c r="B8" s="23" t="s">
        <v>161</v>
      </c>
      <c r="C8" s="24"/>
      <c r="D8" s="25"/>
      <c r="E8" s="24">
        <v>0.23</v>
      </c>
      <c r="F8" s="25">
        <v>5750000</v>
      </c>
    </row>
    <row r="9" spans="1:7" ht="13" customHeight="1" x14ac:dyDescent="0.2">
      <c r="B9" s="26" t="s">
        <v>162</v>
      </c>
      <c r="C9" s="31"/>
      <c r="D9" s="32"/>
      <c r="E9" s="29">
        <v>0.05</v>
      </c>
      <c r="F9" s="30">
        <v>1250000</v>
      </c>
    </row>
    <row r="10" spans="1:7" ht="13" customHeight="1" x14ac:dyDescent="0.2">
      <c r="B10" s="33" t="s">
        <v>163</v>
      </c>
      <c r="C10" s="34"/>
      <c r="D10" s="35"/>
      <c r="E10" s="36">
        <v>0.15</v>
      </c>
      <c r="F10" s="37">
        <v>3750000</v>
      </c>
    </row>
    <row r="11" spans="1:7" ht="13" customHeight="1" x14ac:dyDescent="0.2">
      <c r="B11" s="26" t="s">
        <v>164</v>
      </c>
      <c r="C11" s="31"/>
      <c r="D11" s="32"/>
      <c r="E11" s="29">
        <v>0.03</v>
      </c>
      <c r="F11" s="30">
        <v>750000</v>
      </c>
    </row>
    <row r="12" spans="1:7" ht="16" customHeight="1" x14ac:dyDescent="0.2">
      <c r="B12" s="23" t="s">
        <v>165</v>
      </c>
      <c r="C12" s="24"/>
      <c r="D12" s="25"/>
      <c r="E12" s="24">
        <v>0.12</v>
      </c>
      <c r="F12" s="25">
        <v>3000000</v>
      </c>
    </row>
    <row r="13" spans="1:7" ht="13" customHeight="1" x14ac:dyDescent="0.2">
      <c r="B13" s="26" t="s">
        <v>166</v>
      </c>
      <c r="C13" s="31"/>
      <c r="D13" s="32"/>
      <c r="E13" s="29">
        <v>0.08</v>
      </c>
      <c r="F13" s="30">
        <v>2000000</v>
      </c>
    </row>
    <row r="14" spans="1:7" ht="13" customHeight="1" x14ac:dyDescent="0.2">
      <c r="B14" s="33" t="s">
        <v>167</v>
      </c>
      <c r="C14" s="34"/>
      <c r="D14" s="35"/>
      <c r="E14" s="36">
        <v>0.04</v>
      </c>
      <c r="F14" s="37">
        <v>1000000</v>
      </c>
    </row>
    <row r="15" spans="1:7" ht="16" customHeight="1" x14ac:dyDescent="0.2">
      <c r="B15" s="23" t="s">
        <v>168</v>
      </c>
      <c r="C15" s="24">
        <v>1.8</v>
      </c>
      <c r="D15" s="25">
        <v>45000000</v>
      </c>
      <c r="E15" s="24">
        <v>0.55000000000000004</v>
      </c>
      <c r="F15" s="25">
        <v>13750000</v>
      </c>
    </row>
    <row r="16" spans="1:7" ht="13" customHeight="1" x14ac:dyDescent="0.2">
      <c r="B16" s="26" t="s">
        <v>169</v>
      </c>
      <c r="C16" s="31"/>
      <c r="D16" s="32"/>
      <c r="E16" s="29">
        <v>0.05</v>
      </c>
      <c r="F16" s="30">
        <v>1250000</v>
      </c>
    </row>
    <row r="17" spans="2:6" ht="13" customHeight="1" x14ac:dyDescent="0.2">
      <c r="B17" s="33" t="s">
        <v>170</v>
      </c>
      <c r="C17" s="34"/>
      <c r="D17" s="35"/>
      <c r="E17" s="36">
        <v>0.12</v>
      </c>
      <c r="F17" s="37">
        <v>3000000</v>
      </c>
    </row>
    <row r="18" spans="2:6" ht="13" customHeight="1" x14ac:dyDescent="0.2">
      <c r="B18" s="26" t="s">
        <v>171</v>
      </c>
      <c r="C18" s="31"/>
      <c r="D18" s="32"/>
      <c r="E18" s="29">
        <v>0.25</v>
      </c>
      <c r="F18" s="30">
        <v>6250000</v>
      </c>
    </row>
    <row r="19" spans="2:6" ht="13" customHeight="1" x14ac:dyDescent="0.2">
      <c r="B19" s="33" t="s">
        <v>172</v>
      </c>
      <c r="C19" s="38">
        <v>0.9</v>
      </c>
      <c r="D19" s="39">
        <v>22500000</v>
      </c>
      <c r="E19" s="34"/>
      <c r="F19" s="35"/>
    </row>
    <row r="20" spans="2:6" ht="13" customHeight="1" x14ac:dyDescent="0.2">
      <c r="B20" s="26" t="s">
        <v>173</v>
      </c>
      <c r="C20" s="27">
        <v>0.9</v>
      </c>
      <c r="D20" s="28">
        <v>22500000</v>
      </c>
      <c r="E20" s="31"/>
      <c r="F20" s="32"/>
    </row>
    <row r="21" spans="2:6" ht="13" customHeight="1" x14ac:dyDescent="0.2">
      <c r="B21" s="33" t="s">
        <v>174</v>
      </c>
      <c r="C21" s="34"/>
      <c r="D21" s="35"/>
      <c r="E21" s="36">
        <v>0.08</v>
      </c>
      <c r="F21" s="37">
        <v>2000000</v>
      </c>
    </row>
    <row r="22" spans="2:6" ht="13" customHeight="1" x14ac:dyDescent="0.2">
      <c r="B22" s="26" t="s">
        <v>175</v>
      </c>
      <c r="C22" s="31"/>
      <c r="D22" s="32"/>
      <c r="E22" s="29">
        <v>0.05</v>
      </c>
      <c r="F22" s="30">
        <v>1250000</v>
      </c>
    </row>
    <row r="23" spans="2:6" ht="16" customHeight="1" x14ac:dyDescent="0.2">
      <c r="B23" s="23" t="s">
        <v>176</v>
      </c>
      <c r="C23" s="24"/>
      <c r="D23" s="25"/>
      <c r="E23" s="24">
        <v>0.08</v>
      </c>
      <c r="F23" s="25">
        <v>2000000</v>
      </c>
    </row>
    <row r="24" spans="2:6" ht="13" customHeight="1" x14ac:dyDescent="0.2">
      <c r="B24" s="26" t="s">
        <v>177</v>
      </c>
      <c r="C24" s="31"/>
      <c r="D24" s="32"/>
      <c r="E24" s="29">
        <v>0.05</v>
      </c>
      <c r="F24" s="30">
        <v>1250000</v>
      </c>
    </row>
    <row r="25" spans="2:6" ht="13" customHeight="1" x14ac:dyDescent="0.2">
      <c r="B25" s="33" t="s">
        <v>178</v>
      </c>
      <c r="C25" s="34"/>
      <c r="D25" s="35"/>
      <c r="E25" s="36">
        <v>0.03</v>
      </c>
      <c r="F25" s="37">
        <v>750000</v>
      </c>
    </row>
    <row r="26" spans="2:6" ht="18" customHeight="1" x14ac:dyDescent="0.2">
      <c r="B26" s="40" t="s">
        <v>179</v>
      </c>
      <c r="C26" s="41">
        <v>1</v>
      </c>
      <c r="D26" s="42">
        <f>Inputs!C6</f>
        <v>25000000</v>
      </c>
      <c r="E26" s="41">
        <v>1</v>
      </c>
      <c r="F26" s="42">
        <f>Inputs!C6</f>
        <v>25000000</v>
      </c>
    </row>
    <row r="28" spans="2:6" ht="18" customHeight="1" x14ac:dyDescent="0.2">
      <c r="B28" s="99" t="s">
        <v>180</v>
      </c>
      <c r="C28" s="98"/>
      <c r="D28" s="98"/>
      <c r="E28" s="98"/>
      <c r="F28" s="98"/>
    </row>
    <row r="29" spans="2:6" ht="16" customHeight="1" x14ac:dyDescent="0.2">
      <c r="B29" s="1" t="s">
        <v>99</v>
      </c>
      <c r="C29" s="1" t="s">
        <v>181</v>
      </c>
      <c r="D29" s="1" t="s">
        <v>100</v>
      </c>
      <c r="E29" s="1" t="s">
        <v>101</v>
      </c>
      <c r="F29" s="1" t="s">
        <v>182</v>
      </c>
    </row>
    <row r="30" spans="2:6" ht="15" customHeight="1" x14ac:dyDescent="0.2">
      <c r="B30" s="16" t="s">
        <v>107</v>
      </c>
      <c r="C30" s="43" t="s">
        <v>183</v>
      </c>
      <c r="D30" s="17" t="s">
        <v>108</v>
      </c>
      <c r="E30" s="18" t="s">
        <v>109</v>
      </c>
      <c r="F30" s="19" t="s">
        <v>110</v>
      </c>
    </row>
    <row r="31" spans="2:6" ht="15" customHeight="1" x14ac:dyDescent="0.2">
      <c r="B31" s="10" t="s">
        <v>184</v>
      </c>
      <c r="C31" s="44" t="s">
        <v>183</v>
      </c>
      <c r="D31" s="20" t="s">
        <v>112</v>
      </c>
      <c r="E31" s="21" t="s">
        <v>113</v>
      </c>
      <c r="F31" s="22" t="s">
        <v>114</v>
      </c>
    </row>
    <row r="32" spans="2:6" ht="15" customHeight="1" x14ac:dyDescent="0.2">
      <c r="B32" s="16" t="s">
        <v>185</v>
      </c>
      <c r="C32" s="43" t="s">
        <v>183</v>
      </c>
      <c r="D32" s="17" t="s">
        <v>116</v>
      </c>
      <c r="E32" s="18" t="s">
        <v>117</v>
      </c>
      <c r="F32" s="19" t="s">
        <v>118</v>
      </c>
    </row>
    <row r="33" spans="2:6" ht="15" customHeight="1" x14ac:dyDescent="0.2">
      <c r="B33" s="10" t="s">
        <v>119</v>
      </c>
      <c r="C33" s="44" t="s">
        <v>183</v>
      </c>
      <c r="D33" s="20" t="s">
        <v>186</v>
      </c>
      <c r="E33" s="21" t="s">
        <v>187</v>
      </c>
      <c r="F33" s="22" t="s">
        <v>122</v>
      </c>
    </row>
    <row r="34" spans="2:6" ht="15" customHeight="1" x14ac:dyDescent="0.2">
      <c r="B34" s="16" t="s">
        <v>188</v>
      </c>
      <c r="C34" s="43" t="s">
        <v>189</v>
      </c>
      <c r="D34" s="17" t="s">
        <v>190</v>
      </c>
      <c r="E34" s="18" t="s">
        <v>191</v>
      </c>
      <c r="F34" s="45" t="s">
        <v>192</v>
      </c>
    </row>
    <row r="35" spans="2:6" ht="15" customHeight="1" x14ac:dyDescent="0.2">
      <c r="B35" s="10" t="s">
        <v>193</v>
      </c>
      <c r="C35" s="44" t="s">
        <v>189</v>
      </c>
      <c r="D35" s="20" t="s">
        <v>124</v>
      </c>
      <c r="E35" s="21" t="s">
        <v>125</v>
      </c>
      <c r="F35" s="22" t="s">
        <v>126</v>
      </c>
    </row>
    <row r="36" spans="2:6" ht="15" customHeight="1" x14ac:dyDescent="0.2">
      <c r="B36" s="16" t="s">
        <v>194</v>
      </c>
      <c r="C36" s="43" t="s">
        <v>189</v>
      </c>
      <c r="D36" s="17" t="s">
        <v>195</v>
      </c>
      <c r="E36" s="18" t="s">
        <v>196</v>
      </c>
      <c r="F36" s="45" t="s">
        <v>197</v>
      </c>
    </row>
    <row r="37" spans="2:6" ht="15" customHeight="1" x14ac:dyDescent="0.2">
      <c r="B37" s="10" t="s">
        <v>134</v>
      </c>
      <c r="C37" s="44" t="s">
        <v>198</v>
      </c>
      <c r="D37" s="20" t="s">
        <v>135</v>
      </c>
      <c r="E37" s="21" t="s">
        <v>136</v>
      </c>
      <c r="F37" s="22" t="s">
        <v>199</v>
      </c>
    </row>
    <row r="38" spans="2:6" ht="15" customHeight="1" x14ac:dyDescent="0.2">
      <c r="B38" s="16" t="s">
        <v>200</v>
      </c>
      <c r="C38" s="43" t="s">
        <v>198</v>
      </c>
      <c r="D38" s="17" t="s">
        <v>104</v>
      </c>
      <c r="E38" s="18" t="s">
        <v>105</v>
      </c>
      <c r="F38" s="19" t="s">
        <v>201</v>
      </c>
    </row>
    <row r="39" spans="2:6" ht="15" customHeight="1" x14ac:dyDescent="0.2">
      <c r="B39" s="10" t="s">
        <v>202</v>
      </c>
      <c r="C39" s="44" t="s">
        <v>198</v>
      </c>
      <c r="D39" s="20" t="s">
        <v>203</v>
      </c>
      <c r="E39" s="21" t="s">
        <v>204</v>
      </c>
      <c r="F39" s="22" t="s">
        <v>205</v>
      </c>
    </row>
    <row r="40" spans="2:6" ht="15" customHeight="1" x14ac:dyDescent="0.2">
      <c r="B40" s="16" t="s">
        <v>131</v>
      </c>
      <c r="C40" s="43" t="s">
        <v>198</v>
      </c>
      <c r="D40" s="17" t="s">
        <v>132</v>
      </c>
      <c r="E40" s="18" t="s">
        <v>125</v>
      </c>
      <c r="F40" s="45" t="s">
        <v>133</v>
      </c>
    </row>
    <row r="41" spans="2:6" ht="15" customHeight="1" x14ac:dyDescent="0.2">
      <c r="B41" s="10" t="s">
        <v>206</v>
      </c>
      <c r="C41" s="44" t="s">
        <v>207</v>
      </c>
      <c r="D41" s="20" t="s">
        <v>128</v>
      </c>
      <c r="E41" s="21" t="s">
        <v>129</v>
      </c>
      <c r="F41" s="22" t="s">
        <v>208</v>
      </c>
    </row>
    <row r="42" spans="2:6" ht="15" customHeight="1" x14ac:dyDescent="0.2">
      <c r="B42" s="16" t="s">
        <v>209</v>
      </c>
      <c r="C42" s="43" t="s">
        <v>207</v>
      </c>
      <c r="D42" s="17" t="s">
        <v>210</v>
      </c>
      <c r="E42" s="18" t="s">
        <v>211</v>
      </c>
      <c r="F42" s="19" t="s">
        <v>212</v>
      </c>
    </row>
  </sheetData>
  <mergeCells count="4">
    <mergeCell ref="B4:F4"/>
    <mergeCell ref="A2:G2"/>
    <mergeCell ref="B28:F28"/>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860B"/>
  </sheetPr>
  <dimension ref="A1:F34"/>
  <sheetViews>
    <sheetView showGridLines="0" workbookViewId="0">
      <selection activeCell="Q6" sqref="Q6"/>
    </sheetView>
  </sheetViews>
  <sheetFormatPr baseColWidth="10" defaultColWidth="8.83203125" defaultRowHeight="15" x14ac:dyDescent="0.2"/>
  <cols>
    <col min="1" max="1" width="3" customWidth="1"/>
    <col min="2" max="2" width="32" customWidth="1"/>
    <col min="3" max="3" width="20" customWidth="1"/>
    <col min="4" max="4" width="18" customWidth="1"/>
    <col min="5" max="5" width="28" customWidth="1"/>
    <col min="6" max="6" width="3" customWidth="1"/>
  </cols>
  <sheetData>
    <row r="1" spans="1:6" ht="30" customHeight="1" x14ac:dyDescent="0.2">
      <c r="A1" s="101" t="s">
        <v>213</v>
      </c>
      <c r="B1" s="98"/>
      <c r="C1" s="98"/>
      <c r="D1" s="98"/>
      <c r="E1" s="98"/>
      <c r="F1" s="98"/>
    </row>
    <row r="2" spans="1:6" ht="18" customHeight="1" x14ac:dyDescent="0.2">
      <c r="A2" s="97" t="s">
        <v>214</v>
      </c>
      <c r="B2" s="98"/>
      <c r="C2" s="98"/>
      <c r="D2" s="98"/>
      <c r="E2" s="98"/>
      <c r="F2" s="98"/>
    </row>
    <row r="3" spans="1:6" ht="8" customHeight="1" x14ac:dyDescent="0.2"/>
    <row r="4" spans="1:6" ht="18" customHeight="1" x14ac:dyDescent="0.2">
      <c r="B4" s="99" t="s">
        <v>215</v>
      </c>
      <c r="C4" s="98"/>
      <c r="D4" s="98"/>
      <c r="E4" s="98"/>
    </row>
    <row r="5" spans="1:6" ht="16" customHeight="1" x14ac:dyDescent="0.2">
      <c r="B5" s="1" t="s">
        <v>216</v>
      </c>
      <c r="C5" s="1" t="s">
        <v>217</v>
      </c>
      <c r="D5" s="105" t="s">
        <v>218</v>
      </c>
      <c r="E5" s="107"/>
    </row>
    <row r="6" spans="1:6" ht="15" customHeight="1" x14ac:dyDescent="0.2">
      <c r="B6" s="14" t="s">
        <v>219</v>
      </c>
      <c r="C6" s="46">
        <f>Inputs!C6</f>
        <v>25000000</v>
      </c>
      <c r="D6" s="108" t="s">
        <v>220</v>
      </c>
      <c r="E6" s="98"/>
    </row>
    <row r="7" spans="1:6" ht="15" customHeight="1" x14ac:dyDescent="0.2">
      <c r="B7" s="15" t="s">
        <v>7</v>
      </c>
      <c r="C7" s="46">
        <f>Inputs!C7</f>
        <v>6500000</v>
      </c>
      <c r="D7" s="110" t="s">
        <v>221</v>
      </c>
      <c r="E7" s="98"/>
    </row>
    <row r="8" spans="1:6" ht="15" customHeight="1" x14ac:dyDescent="0.2">
      <c r="B8" s="13" t="s">
        <v>63</v>
      </c>
      <c r="C8" s="49">
        <f>Inputs!C40</f>
        <v>18500000</v>
      </c>
      <c r="D8" s="108" t="s">
        <v>222</v>
      </c>
      <c r="E8" s="98"/>
    </row>
    <row r="9" spans="1:6" ht="15" customHeight="1" x14ac:dyDescent="0.2">
      <c r="B9" s="15" t="s">
        <v>223</v>
      </c>
      <c r="C9" s="50">
        <f>Inputs!C12</f>
        <v>0.2</v>
      </c>
      <c r="D9" s="110" t="s">
        <v>224</v>
      </c>
      <c r="E9" s="98"/>
    </row>
    <row r="10" spans="1:6" ht="15" customHeight="1" x14ac:dyDescent="0.2">
      <c r="B10" s="14" t="s">
        <v>17</v>
      </c>
      <c r="C10" s="50">
        <f>Inputs!C13</f>
        <v>3.7999999999999999E-2</v>
      </c>
      <c r="D10" s="108" t="s">
        <v>225</v>
      </c>
      <c r="E10" s="98"/>
    </row>
    <row r="11" spans="1:6" ht="15" customHeight="1" x14ac:dyDescent="0.2">
      <c r="B11" s="15" t="s">
        <v>226</v>
      </c>
      <c r="C11" s="50">
        <f>Inputs!C14</f>
        <v>0.13300000000000001</v>
      </c>
      <c r="D11" s="110" t="s">
        <v>227</v>
      </c>
      <c r="E11" s="98"/>
    </row>
    <row r="12" spans="1:6" ht="15" customHeight="1" x14ac:dyDescent="0.2">
      <c r="B12" s="13" t="s">
        <v>228</v>
      </c>
      <c r="C12" s="51">
        <f>Inputs!C41</f>
        <v>0.371</v>
      </c>
      <c r="D12" s="108" t="s">
        <v>229</v>
      </c>
      <c r="E12" s="98"/>
    </row>
    <row r="13" spans="1:6" ht="15" customHeight="1" x14ac:dyDescent="0.2">
      <c r="B13" s="2" t="s">
        <v>67</v>
      </c>
      <c r="C13" s="49">
        <f>Inputs!C42</f>
        <v>6863500</v>
      </c>
      <c r="D13" s="110" t="s">
        <v>230</v>
      </c>
      <c r="E13" s="98"/>
    </row>
    <row r="14" spans="1:6" ht="15" customHeight="1" x14ac:dyDescent="0.2">
      <c r="B14" s="14" t="s">
        <v>23</v>
      </c>
      <c r="C14" s="52">
        <f>0-Inputs!C16</f>
        <v>-850000</v>
      </c>
      <c r="D14" s="108" t="s">
        <v>231</v>
      </c>
      <c r="E14" s="98"/>
    </row>
    <row r="15" spans="1:6" ht="15" customHeight="1" x14ac:dyDescent="0.2">
      <c r="B15" s="2" t="s">
        <v>69</v>
      </c>
      <c r="C15" s="49">
        <f>Inputs!C43</f>
        <v>6013500</v>
      </c>
      <c r="D15" s="110" t="s">
        <v>232</v>
      </c>
      <c r="E15" s="98"/>
    </row>
    <row r="16" spans="1:6" ht="8" customHeight="1" x14ac:dyDescent="0.2"/>
    <row r="17" spans="2:5" ht="18" customHeight="1" x14ac:dyDescent="0.2">
      <c r="B17" s="99" t="s">
        <v>233</v>
      </c>
      <c r="C17" s="98"/>
      <c r="D17" s="98"/>
      <c r="E17" s="98"/>
    </row>
    <row r="18" spans="2:5" ht="16" customHeight="1" x14ac:dyDescent="0.2">
      <c r="B18" s="1" t="s">
        <v>234</v>
      </c>
      <c r="C18" s="1" t="s">
        <v>235</v>
      </c>
      <c r="D18" s="1" t="s">
        <v>236</v>
      </c>
      <c r="E18" s="1" t="s">
        <v>237</v>
      </c>
    </row>
    <row r="19" spans="2:5" ht="15" customHeight="1" x14ac:dyDescent="0.2">
      <c r="B19" s="16" t="s">
        <v>238</v>
      </c>
      <c r="C19" s="46">
        <f>Inputs!C20</f>
        <v>4500000</v>
      </c>
      <c r="D19" s="53">
        <f>Inputs!C20*Inputs!C41</f>
        <v>1669500</v>
      </c>
      <c r="E19" s="46">
        <f>SUM(C19:C19)</f>
        <v>4500000</v>
      </c>
    </row>
    <row r="20" spans="2:5" ht="15" customHeight="1" x14ac:dyDescent="0.2">
      <c r="B20" s="10" t="s">
        <v>239</v>
      </c>
      <c r="C20" s="46">
        <f>Inputs!C20</f>
        <v>4500000</v>
      </c>
      <c r="D20" s="53">
        <f>Inputs!C20*Inputs!C41</f>
        <v>1669500</v>
      </c>
      <c r="E20" s="46">
        <f>SUM(C19:C20)</f>
        <v>9000000</v>
      </c>
    </row>
    <row r="21" spans="2:5" ht="15" customHeight="1" x14ac:dyDescent="0.2">
      <c r="B21" s="16" t="s">
        <v>240</v>
      </c>
      <c r="C21" s="46">
        <f>Inputs!C20</f>
        <v>4500000</v>
      </c>
      <c r="D21" s="53">
        <f>Inputs!C20*Inputs!C41</f>
        <v>1669500</v>
      </c>
      <c r="E21" s="46">
        <f>SUM(C19:C21)</f>
        <v>13500000</v>
      </c>
    </row>
    <row r="22" spans="2:5" ht="15" customHeight="1" x14ac:dyDescent="0.2">
      <c r="B22" s="10" t="s">
        <v>241</v>
      </c>
      <c r="C22" s="46">
        <f>Inputs!C20</f>
        <v>4500000</v>
      </c>
      <c r="D22" s="53">
        <f>Inputs!C20*Inputs!C41</f>
        <v>1669500</v>
      </c>
      <c r="E22" s="46">
        <f>SUM(C19:C22)</f>
        <v>18000000</v>
      </c>
    </row>
    <row r="23" spans="2:5" ht="15" customHeight="1" x14ac:dyDescent="0.2">
      <c r="B23" s="16" t="s">
        <v>242</v>
      </c>
      <c r="C23" s="46">
        <f>Inputs!C20</f>
        <v>4500000</v>
      </c>
      <c r="D23" s="53">
        <f>Inputs!C20*Inputs!C41</f>
        <v>1669500</v>
      </c>
      <c r="E23" s="46">
        <f>SUM(C19:C23)</f>
        <v>22500000</v>
      </c>
    </row>
    <row r="24" spans="2:5" ht="18" customHeight="1" x14ac:dyDescent="0.2">
      <c r="B24" s="40" t="s">
        <v>243</v>
      </c>
      <c r="C24" s="42">
        <f>SUM(C19:C23)</f>
        <v>22500000</v>
      </c>
      <c r="D24" s="42">
        <f>SUM(D19:D23)</f>
        <v>8347500</v>
      </c>
      <c r="E24" s="42">
        <f>SUM(C19:C23)</f>
        <v>22500000</v>
      </c>
    </row>
    <row r="26" spans="2:5" ht="18" customHeight="1" x14ac:dyDescent="0.2">
      <c r="B26" s="99" t="s">
        <v>244</v>
      </c>
      <c r="C26" s="98"/>
      <c r="D26" s="98"/>
      <c r="E26" s="98"/>
    </row>
    <row r="27" spans="2:5" ht="16" customHeight="1" x14ac:dyDescent="0.2">
      <c r="B27" s="1" t="s">
        <v>245</v>
      </c>
      <c r="C27" s="1" t="s">
        <v>246</v>
      </c>
      <c r="D27" s="105" t="s">
        <v>247</v>
      </c>
      <c r="E27" s="107"/>
    </row>
    <row r="28" spans="2:5" ht="28" customHeight="1" x14ac:dyDescent="0.2">
      <c r="B28" s="13" t="s">
        <v>248</v>
      </c>
      <c r="C28" s="54">
        <f>Inputs!C16</f>
        <v>850000</v>
      </c>
      <c r="D28" s="111" t="s">
        <v>249</v>
      </c>
      <c r="E28" s="98"/>
    </row>
    <row r="29" spans="2:5" ht="28" customHeight="1" x14ac:dyDescent="0.2">
      <c r="B29" s="2" t="s">
        <v>250</v>
      </c>
      <c r="C29" s="55">
        <v>500000</v>
      </c>
      <c r="D29" s="109" t="s">
        <v>251</v>
      </c>
      <c r="E29" s="98"/>
    </row>
    <row r="30" spans="2:5" ht="28" customHeight="1" x14ac:dyDescent="0.2">
      <c r="B30" s="13" t="s">
        <v>252</v>
      </c>
      <c r="C30" s="56">
        <v>1000000</v>
      </c>
      <c r="D30" s="111" t="s">
        <v>253</v>
      </c>
      <c r="E30" s="98"/>
    </row>
    <row r="31" spans="2:5" ht="37" customHeight="1" x14ac:dyDescent="0.2">
      <c r="B31" s="2" t="s">
        <v>254</v>
      </c>
      <c r="C31" s="57" t="s">
        <v>255</v>
      </c>
      <c r="D31" s="109" t="s">
        <v>256</v>
      </c>
      <c r="E31" s="98"/>
    </row>
    <row r="32" spans="2:5" ht="28" customHeight="1" x14ac:dyDescent="0.2">
      <c r="B32" s="13" t="s">
        <v>257</v>
      </c>
      <c r="C32" s="58" t="s">
        <v>255</v>
      </c>
      <c r="D32" s="111" t="s">
        <v>258</v>
      </c>
      <c r="E32" s="98"/>
    </row>
    <row r="33" spans="2:5" ht="8" customHeight="1" x14ac:dyDescent="0.2"/>
    <row r="34" spans="2:5" ht="22" customHeight="1" x14ac:dyDescent="0.2">
      <c r="B34" s="100" t="s">
        <v>259</v>
      </c>
      <c r="C34" s="98"/>
      <c r="D34" s="98"/>
      <c r="E34" s="98"/>
    </row>
  </sheetData>
  <mergeCells count="23">
    <mergeCell ref="A1:F1"/>
    <mergeCell ref="D29:E29"/>
    <mergeCell ref="D5:E5"/>
    <mergeCell ref="D14:E14"/>
    <mergeCell ref="B34:E34"/>
    <mergeCell ref="D32:E32"/>
    <mergeCell ref="D7:E7"/>
    <mergeCell ref="D28:E28"/>
    <mergeCell ref="D9:E9"/>
    <mergeCell ref="D12:E12"/>
    <mergeCell ref="D8:E8"/>
    <mergeCell ref="B17:E17"/>
    <mergeCell ref="D30:E30"/>
    <mergeCell ref="D15:E15"/>
    <mergeCell ref="D10:E10"/>
    <mergeCell ref="D31:E31"/>
    <mergeCell ref="A2:F2"/>
    <mergeCell ref="D6:E6"/>
    <mergeCell ref="B26:E26"/>
    <mergeCell ref="B4:E4"/>
    <mergeCell ref="D11:E11"/>
    <mergeCell ref="D13:E13"/>
    <mergeCell ref="D27:E2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3C"/>
  </sheetPr>
  <dimension ref="A1:G59"/>
  <sheetViews>
    <sheetView showGridLines="0" workbookViewId="0">
      <selection activeCell="N57" sqref="N57"/>
    </sheetView>
  </sheetViews>
  <sheetFormatPr baseColWidth="10" defaultColWidth="8.83203125" defaultRowHeight="15" x14ac:dyDescent="0.2"/>
  <cols>
    <col min="1" max="1" width="3" customWidth="1"/>
    <col min="2" max="2" width="30" customWidth="1"/>
    <col min="3" max="3" width="18" customWidth="1"/>
    <col min="4" max="5" width="16" customWidth="1"/>
    <col min="6" max="6" width="20" customWidth="1"/>
    <col min="7" max="7" width="3" customWidth="1"/>
  </cols>
  <sheetData>
    <row r="1" spans="1:7" ht="30" customHeight="1" x14ac:dyDescent="0.2">
      <c r="A1" s="101" t="s">
        <v>260</v>
      </c>
      <c r="B1" s="98"/>
      <c r="C1" s="98"/>
      <c r="D1" s="98"/>
      <c r="E1" s="98"/>
      <c r="F1" s="98"/>
      <c r="G1" s="98"/>
    </row>
    <row r="2" spans="1:7" ht="18" customHeight="1" x14ac:dyDescent="0.2">
      <c r="A2" s="97" t="s">
        <v>261</v>
      </c>
      <c r="B2" s="98"/>
      <c r="C2" s="98"/>
      <c r="D2" s="98"/>
      <c r="E2" s="98"/>
      <c r="F2" s="98"/>
      <c r="G2" s="98"/>
    </row>
    <row r="3" spans="1:7" ht="8" customHeight="1" x14ac:dyDescent="0.2"/>
    <row r="4" spans="1:7" ht="18" customHeight="1" x14ac:dyDescent="0.2">
      <c r="B4" s="99" t="s">
        <v>262</v>
      </c>
      <c r="C4" s="98"/>
      <c r="D4" s="98"/>
      <c r="E4" s="98"/>
      <c r="F4" s="98"/>
    </row>
    <row r="5" spans="1:7" ht="16" customHeight="1" x14ac:dyDescent="0.2">
      <c r="B5" s="1" t="s">
        <v>263</v>
      </c>
      <c r="C5" s="1" t="s">
        <v>217</v>
      </c>
      <c r="D5" s="105" t="s">
        <v>218</v>
      </c>
      <c r="E5" s="106"/>
      <c r="F5" s="107"/>
    </row>
    <row r="6" spans="1:7" ht="16" customHeight="1" x14ac:dyDescent="0.2">
      <c r="B6" s="14" t="s">
        <v>264</v>
      </c>
      <c r="C6" s="59" t="s">
        <v>265</v>
      </c>
      <c r="D6" s="108" t="s">
        <v>266</v>
      </c>
      <c r="E6" s="98"/>
      <c r="F6" s="98"/>
    </row>
    <row r="7" spans="1:7" ht="16" customHeight="1" x14ac:dyDescent="0.2">
      <c r="B7" s="2" t="s">
        <v>267</v>
      </c>
      <c r="C7" s="60">
        <f>Inputs!C23</f>
        <v>5000000</v>
      </c>
      <c r="D7" s="110" t="s">
        <v>268</v>
      </c>
      <c r="E7" s="98"/>
      <c r="F7" s="98"/>
    </row>
    <row r="8" spans="1:7" ht="16" customHeight="1" x14ac:dyDescent="0.2">
      <c r="B8" s="14" t="s">
        <v>269</v>
      </c>
      <c r="C8" s="61">
        <f>Inputs!C24</f>
        <v>15000000</v>
      </c>
      <c r="D8" s="108" t="s">
        <v>270</v>
      </c>
      <c r="E8" s="98"/>
      <c r="F8" s="98"/>
    </row>
    <row r="9" spans="1:7" ht="16" customHeight="1" x14ac:dyDescent="0.2">
      <c r="B9" s="15" t="s">
        <v>271</v>
      </c>
      <c r="C9" s="62">
        <f>Inputs!C23/Inputs!C24</f>
        <v>0.33333333333333331</v>
      </c>
      <c r="D9" s="110" t="s">
        <v>272</v>
      </c>
      <c r="E9" s="98"/>
      <c r="F9" s="98"/>
    </row>
    <row r="10" spans="1:7" ht="16" customHeight="1" x14ac:dyDescent="0.2">
      <c r="B10" s="13" t="s">
        <v>273</v>
      </c>
      <c r="C10" s="63">
        <f>Inputs!C27</f>
        <v>0.4</v>
      </c>
      <c r="D10" s="108" t="s">
        <v>274</v>
      </c>
      <c r="E10" s="98"/>
      <c r="F10" s="98"/>
    </row>
    <row r="11" spans="1:7" ht="16" customHeight="1" x14ac:dyDescent="0.2">
      <c r="B11" s="15" t="s">
        <v>36</v>
      </c>
      <c r="C11" s="64">
        <f>Inputs!C25</f>
        <v>4.4999999999999998E-2</v>
      </c>
      <c r="D11" s="110" t="s">
        <v>275</v>
      </c>
      <c r="E11" s="98"/>
      <c r="F11" s="98"/>
    </row>
    <row r="12" spans="1:7" ht="16" customHeight="1" x14ac:dyDescent="0.2">
      <c r="B12" s="14" t="s">
        <v>38</v>
      </c>
      <c r="C12" s="64">
        <f>Inputs!C26</f>
        <v>0.02</v>
      </c>
      <c r="D12" s="108" t="s">
        <v>276</v>
      </c>
      <c r="E12" s="98"/>
      <c r="F12" s="98"/>
    </row>
    <row r="13" spans="1:7" ht="16" customHeight="1" x14ac:dyDescent="0.2">
      <c r="B13" s="2" t="s">
        <v>277</v>
      </c>
      <c r="C13" s="65">
        <f>Inputs!C44</f>
        <v>6.5000000000000002E-2</v>
      </c>
      <c r="D13" s="110" t="s">
        <v>278</v>
      </c>
      <c r="E13" s="98"/>
      <c r="F13" s="98"/>
    </row>
    <row r="14" spans="1:7" ht="16" customHeight="1" x14ac:dyDescent="0.2">
      <c r="B14" s="13" t="s">
        <v>279</v>
      </c>
      <c r="C14" s="65">
        <f>Inputs!C45</f>
        <v>4.095E-2</v>
      </c>
      <c r="D14" s="108" t="s">
        <v>280</v>
      </c>
      <c r="E14" s="98"/>
      <c r="F14" s="98"/>
    </row>
    <row r="15" spans="1:7" ht="16" customHeight="1" x14ac:dyDescent="0.2">
      <c r="B15" s="15" t="s">
        <v>281</v>
      </c>
      <c r="C15" s="66" t="s">
        <v>282</v>
      </c>
      <c r="D15" s="110" t="s">
        <v>283</v>
      </c>
      <c r="E15" s="98"/>
      <c r="F15" s="98"/>
    </row>
    <row r="16" spans="1:7" ht="16" customHeight="1" x14ac:dyDescent="0.2">
      <c r="B16" s="14" t="s">
        <v>284</v>
      </c>
      <c r="C16" s="59" t="s">
        <v>285</v>
      </c>
      <c r="D16" s="108" t="s">
        <v>286</v>
      </c>
      <c r="E16" s="98"/>
      <c r="F16" s="98"/>
    </row>
    <row r="17" spans="2:6" ht="16" customHeight="1" x14ac:dyDescent="0.2">
      <c r="B17" s="2" t="s">
        <v>287</v>
      </c>
      <c r="C17" s="60">
        <f>Inputs!C46</f>
        <v>325000</v>
      </c>
      <c r="D17" s="110" t="s">
        <v>288</v>
      </c>
      <c r="E17" s="98"/>
      <c r="F17" s="98"/>
    </row>
    <row r="18" spans="2:6" ht="16" customHeight="1" x14ac:dyDescent="0.2">
      <c r="B18" s="13" t="s">
        <v>289</v>
      </c>
      <c r="C18" s="60">
        <f>Inputs!C47</f>
        <v>204750</v>
      </c>
      <c r="D18" s="108" t="s">
        <v>290</v>
      </c>
      <c r="E18" s="98"/>
      <c r="F18" s="98"/>
    </row>
    <row r="19" spans="2:6" ht="27" customHeight="1" x14ac:dyDescent="0.2">
      <c r="B19" s="15" t="s">
        <v>291</v>
      </c>
      <c r="C19" s="66" t="s">
        <v>292</v>
      </c>
      <c r="D19" s="110" t="s">
        <v>293</v>
      </c>
      <c r="E19" s="98"/>
      <c r="F19" s="98"/>
    </row>
    <row r="20" spans="2:6" ht="8" customHeight="1" x14ac:dyDescent="0.2"/>
    <row r="21" spans="2:6" ht="18" customHeight="1" x14ac:dyDescent="0.2">
      <c r="B21" s="99" t="s">
        <v>294</v>
      </c>
      <c r="C21" s="98"/>
      <c r="D21" s="98"/>
      <c r="E21" s="98"/>
      <c r="F21" s="98"/>
    </row>
    <row r="22" spans="2:6" ht="16" customHeight="1" x14ac:dyDescent="0.2">
      <c r="B22" s="1" t="s">
        <v>295</v>
      </c>
      <c r="C22" s="1" t="s">
        <v>296</v>
      </c>
      <c r="D22" s="1" t="s">
        <v>297</v>
      </c>
      <c r="E22" s="1" t="s">
        <v>298</v>
      </c>
      <c r="F22" s="1" t="s">
        <v>299</v>
      </c>
    </row>
    <row r="23" spans="2:6" ht="14" customHeight="1" x14ac:dyDescent="0.2">
      <c r="B23" s="15" t="s">
        <v>300</v>
      </c>
      <c r="C23" s="46">
        <f>Inputs!C23</f>
        <v>5000000</v>
      </c>
      <c r="D23" s="53">
        <f>Inputs!C23*Inputs!C44/12</f>
        <v>27083.333333333332</v>
      </c>
      <c r="E23" s="67">
        <v>0</v>
      </c>
      <c r="F23" s="46">
        <f>Inputs!C23</f>
        <v>5000000</v>
      </c>
    </row>
    <row r="24" spans="2:6" ht="14" customHeight="1" x14ac:dyDescent="0.2">
      <c r="B24" s="14" t="s">
        <v>301</v>
      </c>
      <c r="C24" s="46">
        <f>Inputs!C23</f>
        <v>5000000</v>
      </c>
      <c r="D24" s="53">
        <f>Inputs!C23*Inputs!C44/12</f>
        <v>27083.333333333332</v>
      </c>
      <c r="E24" s="68">
        <v>0</v>
      </c>
      <c r="F24" s="46">
        <f>Inputs!C23</f>
        <v>5000000</v>
      </c>
    </row>
    <row r="25" spans="2:6" ht="14" customHeight="1" x14ac:dyDescent="0.2">
      <c r="B25" s="15" t="s">
        <v>302</v>
      </c>
      <c r="C25" s="46">
        <f>Inputs!C23</f>
        <v>5000000</v>
      </c>
      <c r="D25" s="53">
        <f>Inputs!C23*Inputs!C44/12</f>
        <v>27083.333333333332</v>
      </c>
      <c r="E25" s="67">
        <v>0</v>
      </c>
      <c r="F25" s="46">
        <f>Inputs!C23</f>
        <v>5000000</v>
      </c>
    </row>
    <row r="26" spans="2:6" ht="14" customHeight="1" x14ac:dyDescent="0.2">
      <c r="B26" s="14" t="s">
        <v>303</v>
      </c>
      <c r="C26" s="46">
        <f>Inputs!C23</f>
        <v>5000000</v>
      </c>
      <c r="D26" s="53">
        <f>Inputs!C23*Inputs!C44/12</f>
        <v>27083.333333333332</v>
      </c>
      <c r="E26" s="68">
        <v>0</v>
      </c>
      <c r="F26" s="46">
        <f>Inputs!C23</f>
        <v>5000000</v>
      </c>
    </row>
    <row r="27" spans="2:6" ht="14" customHeight="1" x14ac:dyDescent="0.2">
      <c r="B27" s="15" t="s">
        <v>304</v>
      </c>
      <c r="C27" s="46">
        <f>Inputs!C23</f>
        <v>5000000</v>
      </c>
      <c r="D27" s="53">
        <f>Inputs!C23*Inputs!C44/12</f>
        <v>27083.333333333332</v>
      </c>
      <c r="E27" s="67">
        <v>0</v>
      </c>
      <c r="F27" s="46">
        <f>Inputs!C23</f>
        <v>5000000</v>
      </c>
    </row>
    <row r="28" spans="2:6" ht="14" customHeight="1" x14ac:dyDescent="0.2">
      <c r="B28" s="14" t="s">
        <v>305</v>
      </c>
      <c r="C28" s="46">
        <f>Inputs!C23</f>
        <v>5000000</v>
      </c>
      <c r="D28" s="53">
        <f>Inputs!C23*Inputs!C44/12</f>
        <v>27083.333333333332</v>
      </c>
      <c r="E28" s="68">
        <v>0</v>
      </c>
      <c r="F28" s="46">
        <f>Inputs!C23</f>
        <v>5000000</v>
      </c>
    </row>
    <row r="29" spans="2:6" ht="14" customHeight="1" x14ac:dyDescent="0.2">
      <c r="B29" s="15" t="s">
        <v>306</v>
      </c>
      <c r="C29" s="46">
        <f>Inputs!C23</f>
        <v>5000000</v>
      </c>
      <c r="D29" s="53">
        <f>Inputs!C23*Inputs!C44/12</f>
        <v>27083.333333333332</v>
      </c>
      <c r="E29" s="67">
        <v>0</v>
      </c>
      <c r="F29" s="46">
        <f>Inputs!C23</f>
        <v>5000000</v>
      </c>
    </row>
    <row r="30" spans="2:6" ht="14" customHeight="1" x14ac:dyDescent="0.2">
      <c r="B30" s="14" t="s">
        <v>307</v>
      </c>
      <c r="C30" s="46">
        <f>Inputs!C23</f>
        <v>5000000</v>
      </c>
      <c r="D30" s="53">
        <f>Inputs!C23*Inputs!C44/12</f>
        <v>27083.333333333332</v>
      </c>
      <c r="E30" s="68">
        <v>0</v>
      </c>
      <c r="F30" s="46">
        <f>Inputs!C23</f>
        <v>5000000</v>
      </c>
    </row>
    <row r="31" spans="2:6" ht="14" customHeight="1" x14ac:dyDescent="0.2">
      <c r="B31" s="15" t="s">
        <v>308</v>
      </c>
      <c r="C31" s="46">
        <f>Inputs!C23</f>
        <v>5000000</v>
      </c>
      <c r="D31" s="53">
        <f>Inputs!C23*Inputs!C44/12</f>
        <v>27083.333333333332</v>
      </c>
      <c r="E31" s="67">
        <v>0</v>
      </c>
      <c r="F31" s="46">
        <f>Inputs!C23</f>
        <v>5000000</v>
      </c>
    </row>
    <row r="32" spans="2:6" ht="14" customHeight="1" x14ac:dyDescent="0.2">
      <c r="B32" s="14" t="s">
        <v>309</v>
      </c>
      <c r="C32" s="46">
        <f>Inputs!C23</f>
        <v>5000000</v>
      </c>
      <c r="D32" s="53">
        <f>Inputs!C23*Inputs!C44/12</f>
        <v>27083.333333333332</v>
      </c>
      <c r="E32" s="68">
        <v>0</v>
      </c>
      <c r="F32" s="46">
        <f>Inputs!C23</f>
        <v>5000000</v>
      </c>
    </row>
    <row r="33" spans="2:6" ht="14" customHeight="1" x14ac:dyDescent="0.2">
      <c r="B33" s="15" t="s">
        <v>310</v>
      </c>
      <c r="C33" s="46">
        <f>Inputs!C23</f>
        <v>5000000</v>
      </c>
      <c r="D33" s="53">
        <f>Inputs!C23*Inputs!C44/12</f>
        <v>27083.333333333332</v>
      </c>
      <c r="E33" s="67">
        <v>0</v>
      </c>
      <c r="F33" s="46">
        <f>Inputs!C23</f>
        <v>5000000</v>
      </c>
    </row>
    <row r="34" spans="2:6" ht="14" customHeight="1" x14ac:dyDescent="0.2">
      <c r="B34" s="16" t="s">
        <v>311</v>
      </c>
      <c r="C34" s="69">
        <f>Inputs!C23</f>
        <v>5000000</v>
      </c>
      <c r="D34" s="49">
        <f>Inputs!C23*Inputs!C44/12</f>
        <v>27083.333333333332</v>
      </c>
      <c r="E34" s="70">
        <v>0</v>
      </c>
      <c r="F34" s="69">
        <f>Inputs!C23</f>
        <v>5000000</v>
      </c>
    </row>
    <row r="35" spans="2:6" ht="18" customHeight="1" x14ac:dyDescent="0.2">
      <c r="B35" s="40" t="s">
        <v>312</v>
      </c>
      <c r="C35" s="42">
        <f>Inputs!C23</f>
        <v>5000000</v>
      </c>
      <c r="D35" s="42">
        <f>SUM(D23:D34)</f>
        <v>325000</v>
      </c>
      <c r="E35" s="42">
        <v>0</v>
      </c>
      <c r="F35" s="42">
        <f>Inputs!C23</f>
        <v>5000000</v>
      </c>
    </row>
    <row r="37" spans="2:6" ht="18" customHeight="1" x14ac:dyDescent="0.2">
      <c r="B37" s="99" t="s">
        <v>313</v>
      </c>
      <c r="C37" s="98"/>
      <c r="D37" s="98"/>
      <c r="E37" s="98"/>
      <c r="F37" s="98"/>
    </row>
    <row r="38" spans="2:6" ht="16" customHeight="1" x14ac:dyDescent="0.2">
      <c r="B38" s="1" t="s">
        <v>314</v>
      </c>
      <c r="C38" s="1" t="s">
        <v>315</v>
      </c>
      <c r="D38" s="1" t="s">
        <v>316</v>
      </c>
      <c r="E38" s="1" t="s">
        <v>317</v>
      </c>
      <c r="F38" s="1" t="s">
        <v>318</v>
      </c>
    </row>
    <row r="39" spans="2:6" ht="15" customHeight="1" x14ac:dyDescent="0.2">
      <c r="B39" s="16" t="s">
        <v>319</v>
      </c>
      <c r="C39" s="18" t="s">
        <v>320</v>
      </c>
      <c r="D39" s="61">
        <f>Inputs!C24*(1-0)</f>
        <v>15000000</v>
      </c>
      <c r="E39" s="62">
        <f>Inputs!C23/(Inputs!C24*(1-0))</f>
        <v>0.33333333333333331</v>
      </c>
      <c r="F39" s="71" t="str">
        <f>IF(Inputs!C23/(Inputs!C24*(1-0))&gt;Inputs!C27,"YES","NO")</f>
        <v>NO</v>
      </c>
    </row>
    <row r="40" spans="2:6" ht="15" customHeight="1" x14ac:dyDescent="0.2">
      <c r="B40" s="10" t="s">
        <v>321</v>
      </c>
      <c r="C40" s="20" t="s">
        <v>322</v>
      </c>
      <c r="D40" s="61">
        <f>Inputs!C24*(1-0.1)</f>
        <v>13500000</v>
      </c>
      <c r="E40" s="62">
        <f>Inputs!C23/(Inputs!C24*(1-0.1))</f>
        <v>0.37037037037037035</v>
      </c>
      <c r="F40" s="71" t="str">
        <f>IF(Inputs!C23/(Inputs!C24*(1-0.1))&gt;Inputs!C27,"YES","NO")</f>
        <v>NO</v>
      </c>
    </row>
    <row r="41" spans="2:6" ht="15" customHeight="1" x14ac:dyDescent="0.2">
      <c r="B41" s="16" t="s">
        <v>323</v>
      </c>
      <c r="C41" s="17" t="s">
        <v>324</v>
      </c>
      <c r="D41" s="61">
        <f>Inputs!C24*(1-0.2)</f>
        <v>12000000</v>
      </c>
      <c r="E41" s="72">
        <f>Inputs!C23/(Inputs!C24*(1-0.2))</f>
        <v>0.41666666666666669</v>
      </c>
      <c r="F41" s="73" t="str">
        <f>IF(Inputs!C23/(Inputs!C24*(1-0.2))&gt;Inputs!C27,"YES","NO")</f>
        <v>YES</v>
      </c>
    </row>
    <row r="42" spans="2:6" ht="15" customHeight="1" x14ac:dyDescent="0.2">
      <c r="B42" s="10" t="s">
        <v>325</v>
      </c>
      <c r="C42" s="20" t="s">
        <v>326</v>
      </c>
      <c r="D42" s="61">
        <f>Inputs!C24*(1-0.3)</f>
        <v>10500000</v>
      </c>
      <c r="E42" s="72">
        <f>Inputs!C23/(Inputs!C24*(1-0.3))</f>
        <v>0.47619047619047616</v>
      </c>
      <c r="F42" s="73" t="str">
        <f>IF(Inputs!C23/(Inputs!C24*(1-0.3))&gt;Inputs!C27,"YES","NO")</f>
        <v>YES</v>
      </c>
    </row>
    <row r="43" spans="2:6" ht="15" customHeight="1" x14ac:dyDescent="0.2">
      <c r="B43" s="16" t="s">
        <v>327</v>
      </c>
      <c r="C43" s="17" t="s">
        <v>328</v>
      </c>
      <c r="D43" s="61">
        <f>Inputs!C24*(1-0.4)</f>
        <v>9000000</v>
      </c>
      <c r="E43" s="72">
        <f>Inputs!C23/(Inputs!C24*(1-0.4))</f>
        <v>0.55555555555555558</v>
      </c>
      <c r="F43" s="73" t="str">
        <f>IF(Inputs!C23/(Inputs!C24*(1-0.4))&gt;Inputs!C27,"YES","NO")</f>
        <v>YES</v>
      </c>
    </row>
    <row r="44" spans="2:6" ht="15" customHeight="1" x14ac:dyDescent="0.2">
      <c r="B44" s="10" t="s">
        <v>329</v>
      </c>
      <c r="C44" s="20" t="s">
        <v>330</v>
      </c>
      <c r="D44" s="61">
        <f>Inputs!C24*(1-0.5)</f>
        <v>7500000</v>
      </c>
      <c r="E44" s="72">
        <f>Inputs!C23/(Inputs!C24*(1-0.5))</f>
        <v>0.66666666666666663</v>
      </c>
      <c r="F44" s="73" t="str">
        <f>IF(Inputs!C23/(Inputs!C24*(1-0.5))&gt;Inputs!C27,"YES","NO")</f>
        <v>YES</v>
      </c>
    </row>
    <row r="45" spans="2:6" ht="8" customHeight="1" x14ac:dyDescent="0.2"/>
    <row r="46" spans="2:6" ht="28" customHeight="1" x14ac:dyDescent="0.2">
      <c r="B46" s="100" t="s">
        <v>331</v>
      </c>
      <c r="C46" s="98"/>
      <c r="D46" s="98"/>
      <c r="E46" s="98"/>
      <c r="F46" s="98"/>
    </row>
    <row r="48" spans="2:6" ht="18" customHeight="1" x14ac:dyDescent="0.2">
      <c r="B48" s="99" t="s">
        <v>332</v>
      </c>
      <c r="C48" s="98"/>
      <c r="D48" s="98"/>
      <c r="E48" s="98"/>
      <c r="F48" s="98"/>
    </row>
    <row r="49" spans="2:6" ht="16" customHeight="1" x14ac:dyDescent="0.2">
      <c r="B49" s="1" t="s">
        <v>333</v>
      </c>
      <c r="C49" s="1" t="s">
        <v>334</v>
      </c>
      <c r="D49" s="1" t="s">
        <v>335</v>
      </c>
      <c r="E49" s="105" t="s">
        <v>336</v>
      </c>
      <c r="F49" s="107"/>
    </row>
    <row r="50" spans="2:6" ht="16" customHeight="1" x14ac:dyDescent="0.2">
      <c r="B50" s="16" t="s">
        <v>337</v>
      </c>
      <c r="C50" s="74">
        <f>Inputs!C23*Inputs!C41</f>
        <v>1855000</v>
      </c>
      <c r="D50" s="59" t="s">
        <v>338</v>
      </c>
      <c r="E50" s="112" t="s">
        <v>339</v>
      </c>
      <c r="F50" s="98"/>
    </row>
    <row r="51" spans="2:6" ht="16" customHeight="1" x14ac:dyDescent="0.2">
      <c r="B51" s="10" t="s">
        <v>340</v>
      </c>
      <c r="C51" s="66" t="s">
        <v>338</v>
      </c>
      <c r="D51" s="75">
        <f>Inputs!C47</f>
        <v>204750</v>
      </c>
      <c r="E51" s="113" t="s">
        <v>341</v>
      </c>
      <c r="F51" s="98"/>
    </row>
    <row r="52" spans="2:6" ht="26" customHeight="1" x14ac:dyDescent="0.2">
      <c r="B52" s="16" t="s">
        <v>342</v>
      </c>
      <c r="C52" s="74">
        <f>Inputs!C23*(1-Inputs!C41)</f>
        <v>3145000</v>
      </c>
      <c r="D52" s="75">
        <f>Inputs!C23</f>
        <v>5000000</v>
      </c>
      <c r="E52" s="112" t="s">
        <v>343</v>
      </c>
      <c r="F52" s="98"/>
    </row>
    <row r="53" spans="2:6" ht="16" customHeight="1" x14ac:dyDescent="0.2">
      <c r="B53" s="10" t="s">
        <v>344</v>
      </c>
      <c r="C53" s="74">
        <f>Inputs!C6-Inputs!C23</f>
        <v>20000000</v>
      </c>
      <c r="D53" s="75">
        <f>Inputs!C6</f>
        <v>25000000</v>
      </c>
      <c r="E53" s="113" t="s">
        <v>345</v>
      </c>
      <c r="F53" s="98"/>
    </row>
    <row r="54" spans="2:6" ht="27" customHeight="1" x14ac:dyDescent="0.2">
      <c r="B54" s="16" t="s">
        <v>346</v>
      </c>
      <c r="C54" s="59" t="s">
        <v>347</v>
      </c>
      <c r="D54" s="75">
        <f>Inputs!C23*Inputs!C31</f>
        <v>490000</v>
      </c>
      <c r="E54" s="112" t="s">
        <v>348</v>
      </c>
      <c r="F54" s="98"/>
    </row>
    <row r="55" spans="2:6" ht="16" customHeight="1" x14ac:dyDescent="0.2">
      <c r="B55" s="10" t="s">
        <v>349</v>
      </c>
      <c r="C55" s="66" t="s">
        <v>347</v>
      </c>
      <c r="D55" s="75">
        <f>Inputs!C23*Inputs!C31-Inputs!C47</f>
        <v>285250</v>
      </c>
      <c r="E55" s="113" t="s">
        <v>350</v>
      </c>
      <c r="F55" s="98"/>
    </row>
    <row r="56" spans="2:6" ht="16" customHeight="1" x14ac:dyDescent="0.2">
      <c r="B56" s="16" t="s">
        <v>351</v>
      </c>
      <c r="C56" s="59" t="s">
        <v>347</v>
      </c>
      <c r="D56" s="18" t="s">
        <v>352</v>
      </c>
      <c r="E56" s="112" t="s">
        <v>353</v>
      </c>
      <c r="F56" s="98"/>
    </row>
    <row r="57" spans="2:6" ht="26" customHeight="1" x14ac:dyDescent="0.2">
      <c r="B57" s="10" t="s">
        <v>354</v>
      </c>
      <c r="C57" s="66" t="s">
        <v>347</v>
      </c>
      <c r="D57" s="21" t="s">
        <v>355</v>
      </c>
      <c r="E57" s="113" t="s">
        <v>356</v>
      </c>
      <c r="F57" s="98"/>
    </row>
    <row r="58" spans="2:6" ht="8" customHeight="1" x14ac:dyDescent="0.2"/>
    <row r="59" spans="2:6" ht="20" customHeight="1" x14ac:dyDescent="0.2">
      <c r="B59" s="100" t="s">
        <v>437</v>
      </c>
      <c r="C59" s="98"/>
      <c r="D59" s="98"/>
      <c r="E59" s="98"/>
      <c r="F59" s="98"/>
    </row>
  </sheetData>
  <mergeCells count="32">
    <mergeCell ref="E57:F57"/>
    <mergeCell ref="D19:F19"/>
    <mergeCell ref="E54:F54"/>
    <mergeCell ref="A2:G2"/>
    <mergeCell ref="E53:F53"/>
    <mergeCell ref="D6:F6"/>
    <mergeCell ref="A1:G1"/>
    <mergeCell ref="D5:F5"/>
    <mergeCell ref="E49:F49"/>
    <mergeCell ref="B37:F37"/>
    <mergeCell ref="D10:F10"/>
    <mergeCell ref="B59:F59"/>
    <mergeCell ref="D17:F17"/>
    <mergeCell ref="B46:F46"/>
    <mergeCell ref="E52:F52"/>
    <mergeCell ref="D7:F7"/>
    <mergeCell ref="D16:F16"/>
    <mergeCell ref="B21:F21"/>
    <mergeCell ref="E51:F51"/>
    <mergeCell ref="B48:F48"/>
    <mergeCell ref="D12:F12"/>
    <mergeCell ref="D18:F18"/>
    <mergeCell ref="D9:F9"/>
    <mergeCell ref="D8:F8"/>
    <mergeCell ref="D15:F15"/>
    <mergeCell ref="E56:F56"/>
    <mergeCell ref="D14:F14"/>
    <mergeCell ref="B4:F4"/>
    <mergeCell ref="E50:F50"/>
    <mergeCell ref="D11:F11"/>
    <mergeCell ref="D13:F13"/>
    <mergeCell ref="E55:F5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H47"/>
  <sheetViews>
    <sheetView showGridLines="0" workbookViewId="0">
      <selection activeCell="F51" sqref="F51"/>
    </sheetView>
  </sheetViews>
  <sheetFormatPr baseColWidth="10" defaultColWidth="8.83203125" defaultRowHeight="15" x14ac:dyDescent="0.2"/>
  <cols>
    <col min="1" max="1" width="3" customWidth="1"/>
    <col min="2" max="2" width="20" customWidth="1"/>
    <col min="3" max="3" width="14" customWidth="1"/>
    <col min="4" max="6" width="18" customWidth="1"/>
    <col min="7" max="7" width="20" customWidth="1"/>
    <col min="8" max="8" width="3" customWidth="1"/>
  </cols>
  <sheetData>
    <row r="1" spans="1:8" ht="30" customHeight="1" x14ac:dyDescent="0.2">
      <c r="A1" s="101" t="s">
        <v>357</v>
      </c>
      <c r="B1" s="98"/>
      <c r="C1" s="98"/>
      <c r="D1" s="98"/>
      <c r="E1" s="98"/>
      <c r="F1" s="98"/>
      <c r="G1" s="98"/>
      <c r="H1" s="98"/>
    </row>
    <row r="2" spans="1:8" ht="18" customHeight="1" x14ac:dyDescent="0.2">
      <c r="A2" s="97" t="s">
        <v>358</v>
      </c>
      <c r="B2" s="98"/>
      <c r="C2" s="98"/>
      <c r="D2" s="98"/>
      <c r="E2" s="98"/>
      <c r="F2" s="98"/>
      <c r="G2" s="98"/>
      <c r="H2" s="98"/>
    </row>
    <row r="3" spans="1:8" ht="8" customHeight="1" x14ac:dyDescent="0.2"/>
    <row r="4" spans="1:8" ht="18" customHeight="1" x14ac:dyDescent="0.2">
      <c r="B4" s="99" t="s">
        <v>359</v>
      </c>
      <c r="C4" s="98"/>
      <c r="D4" s="98"/>
      <c r="E4" s="98"/>
      <c r="F4" s="98"/>
      <c r="G4" s="98"/>
    </row>
    <row r="5" spans="1:8" ht="16" customHeight="1" x14ac:dyDescent="0.2">
      <c r="B5" s="1" t="s">
        <v>263</v>
      </c>
      <c r="C5" s="1" t="s">
        <v>360</v>
      </c>
      <c r="D5" s="1" t="s">
        <v>319</v>
      </c>
      <c r="E5" s="1" t="s">
        <v>361</v>
      </c>
      <c r="F5" s="105" t="s">
        <v>218</v>
      </c>
      <c r="G5" s="107"/>
    </row>
    <row r="6" spans="1:8" ht="16" customHeight="1" x14ac:dyDescent="0.2">
      <c r="B6" s="16" t="s">
        <v>362</v>
      </c>
      <c r="C6" s="74">
        <f>Inputs!C48</f>
        <v>18986500</v>
      </c>
      <c r="D6" s="76">
        <f>Inputs!C48</f>
        <v>18986500</v>
      </c>
      <c r="E6" s="75">
        <f>Inputs!C48</f>
        <v>18986500</v>
      </c>
      <c r="F6" s="108" t="s">
        <v>363</v>
      </c>
      <c r="G6" s="98"/>
    </row>
    <row r="7" spans="1:8" ht="30" x14ac:dyDescent="0.2">
      <c r="B7" s="10" t="s">
        <v>364</v>
      </c>
      <c r="C7" s="77">
        <f>Inputs!C30</f>
        <v>0.05</v>
      </c>
      <c r="D7" s="78">
        <f>Inputs!C31</f>
        <v>9.8000000000000004E-2</v>
      </c>
      <c r="E7" s="79">
        <f>Inputs!C32</f>
        <v>0.13500000000000001</v>
      </c>
      <c r="F7" s="110" t="s">
        <v>365</v>
      </c>
      <c r="G7" s="98"/>
    </row>
    <row r="8" spans="1:8" x14ac:dyDescent="0.2">
      <c r="B8" s="16" t="s">
        <v>49</v>
      </c>
      <c r="C8" s="77">
        <f>Inputs!C33</f>
        <v>0.02</v>
      </c>
      <c r="D8" s="78">
        <f>Inputs!C33</f>
        <v>0.02</v>
      </c>
      <c r="E8" s="79">
        <f>Inputs!C33</f>
        <v>0.02</v>
      </c>
      <c r="F8" s="108" t="s">
        <v>366</v>
      </c>
      <c r="G8" s="98"/>
    </row>
    <row r="9" spans="1:8" ht="26" customHeight="1" x14ac:dyDescent="0.2">
      <c r="B9" s="10" t="s">
        <v>367</v>
      </c>
      <c r="C9" s="77">
        <f>Inputs!C49</f>
        <v>3.0000000000000002E-2</v>
      </c>
      <c r="D9" s="78">
        <f>Inputs!C50</f>
        <v>7.8E-2</v>
      </c>
      <c r="E9" s="79">
        <f>Inputs!C51</f>
        <v>0.115</v>
      </c>
      <c r="F9" s="110" t="s">
        <v>368</v>
      </c>
      <c r="G9" s="98"/>
    </row>
    <row r="10" spans="1:8" ht="16" customHeight="1" x14ac:dyDescent="0.2">
      <c r="B10" s="16" t="s">
        <v>369</v>
      </c>
      <c r="C10" s="17" t="s">
        <v>370</v>
      </c>
      <c r="D10" s="80" t="s">
        <v>370</v>
      </c>
      <c r="E10" s="18" t="s">
        <v>370</v>
      </c>
      <c r="F10" s="108" t="s">
        <v>371</v>
      </c>
      <c r="G10" s="98"/>
    </row>
    <row r="11" spans="1:8" ht="16" customHeight="1" x14ac:dyDescent="0.2">
      <c r="B11" s="10" t="s">
        <v>54</v>
      </c>
      <c r="C11" s="74">
        <f>Inputs!C35</f>
        <v>10000000</v>
      </c>
      <c r="D11" s="76">
        <f>Inputs!C35</f>
        <v>10000000</v>
      </c>
      <c r="E11" s="75">
        <f>Inputs!C35</f>
        <v>10000000</v>
      </c>
      <c r="F11" s="110" t="s">
        <v>372</v>
      </c>
      <c r="G11" s="98"/>
    </row>
    <row r="12" spans="1:8" ht="25" customHeight="1" x14ac:dyDescent="0.2">
      <c r="B12" s="16" t="s">
        <v>373</v>
      </c>
      <c r="C12" s="17" t="s">
        <v>374</v>
      </c>
      <c r="D12" s="80" t="s">
        <v>374</v>
      </c>
      <c r="E12" s="18" t="s">
        <v>374</v>
      </c>
      <c r="F12" s="108" t="s">
        <v>375</v>
      </c>
      <c r="G12" s="98"/>
    </row>
    <row r="13" spans="1:8" ht="26" customHeight="1" x14ac:dyDescent="0.2">
      <c r="B13" s="10" t="s">
        <v>376</v>
      </c>
      <c r="C13" s="74">
        <f>Inputs!C47</f>
        <v>204750</v>
      </c>
      <c r="D13" s="76">
        <f>Inputs!C47</f>
        <v>204750</v>
      </c>
      <c r="E13" s="75">
        <f>Inputs!C47</f>
        <v>204750</v>
      </c>
      <c r="F13" s="110" t="s">
        <v>377</v>
      </c>
      <c r="G13" s="98"/>
    </row>
    <row r="14" spans="1:8" ht="8" customHeight="1" x14ac:dyDescent="0.2"/>
    <row r="15" spans="1:8" ht="18" customHeight="1" x14ac:dyDescent="0.2">
      <c r="B15" s="99" t="s">
        <v>378</v>
      </c>
      <c r="C15" s="98"/>
      <c r="D15" s="98"/>
      <c r="E15" s="98"/>
      <c r="F15" s="98"/>
      <c r="G15" s="98"/>
    </row>
    <row r="16" spans="1:8" ht="28" customHeight="1" x14ac:dyDescent="0.2">
      <c r="B16" s="1" t="s">
        <v>379</v>
      </c>
      <c r="C16" s="1" t="s">
        <v>380</v>
      </c>
      <c r="D16" s="1" t="s">
        <v>381</v>
      </c>
      <c r="E16" s="1" t="s">
        <v>382</v>
      </c>
      <c r="F16" s="1" t="s">
        <v>383</v>
      </c>
      <c r="G16" s="1" t="s">
        <v>384</v>
      </c>
    </row>
    <row r="17" spans="2:7" ht="14" customHeight="1" x14ac:dyDescent="0.2">
      <c r="B17" s="15" t="s">
        <v>385</v>
      </c>
      <c r="C17" s="66">
        <v>2027</v>
      </c>
      <c r="D17" s="46">
        <f>Inputs!C48*(1+Inputs!C49)</f>
        <v>19556095</v>
      </c>
      <c r="E17" s="46">
        <f>Inputs!C48*(1+Inputs!C50)</f>
        <v>20467447</v>
      </c>
      <c r="F17" s="46">
        <f>Inputs!C48*(1+Inputs!C51)</f>
        <v>21169947.5</v>
      </c>
      <c r="G17" s="81" t="s">
        <v>386</v>
      </c>
    </row>
    <row r="18" spans="2:7" ht="14" customHeight="1" x14ac:dyDescent="0.2">
      <c r="B18" s="14" t="s">
        <v>387</v>
      </c>
      <c r="C18" s="59">
        <v>2028</v>
      </c>
      <c r="D18" s="46">
        <f>D17*(1+Inputs!C49)</f>
        <v>20142777.850000001</v>
      </c>
      <c r="E18" s="46">
        <f>E17*(1+Inputs!C50)</f>
        <v>22063907.866</v>
      </c>
      <c r="F18" s="46">
        <f>F17*(1+Inputs!C51)</f>
        <v>23604491.462499999</v>
      </c>
      <c r="G18" s="82"/>
    </row>
    <row r="19" spans="2:7" ht="14" customHeight="1" x14ac:dyDescent="0.2">
      <c r="B19" s="15" t="s">
        <v>388</v>
      </c>
      <c r="C19" s="66">
        <v>2029</v>
      </c>
      <c r="D19" s="46">
        <f>D18*(1+Inputs!C49)</f>
        <v>20747061.185500003</v>
      </c>
      <c r="E19" s="46">
        <f>E18*(1+Inputs!C50)</f>
        <v>23784892.679548003</v>
      </c>
      <c r="F19" s="46">
        <f>F18*(1+Inputs!C51)</f>
        <v>26319007.980687499</v>
      </c>
      <c r="G19" s="83"/>
    </row>
    <row r="20" spans="2:7" ht="14" customHeight="1" x14ac:dyDescent="0.2">
      <c r="B20" s="14" t="s">
        <v>389</v>
      </c>
      <c r="C20" s="59">
        <v>2030</v>
      </c>
      <c r="D20" s="46">
        <f>D19*(1+Inputs!C49)</f>
        <v>21369473.021065004</v>
      </c>
      <c r="E20" s="46">
        <f>E19*(1+Inputs!C50)</f>
        <v>25640114.308552749</v>
      </c>
      <c r="F20" s="46">
        <f>F19*(1+Inputs!C51)</f>
        <v>29345693.898466561</v>
      </c>
      <c r="G20" s="82"/>
    </row>
    <row r="21" spans="2:7" ht="14" customHeight="1" x14ac:dyDescent="0.2">
      <c r="B21" s="10" t="s">
        <v>390</v>
      </c>
      <c r="C21" s="84">
        <v>2031</v>
      </c>
      <c r="D21" s="49">
        <f>D20*(1+Inputs!C49)</f>
        <v>22010557.211696956</v>
      </c>
      <c r="E21" s="85">
        <f>E20*(1+Inputs!C50)</f>
        <v>27640043.224619865</v>
      </c>
      <c r="F21" s="54">
        <f>F20*(1+Inputs!C51)</f>
        <v>32720448.696790215</v>
      </c>
      <c r="G21" s="86" t="s">
        <v>391</v>
      </c>
    </row>
    <row r="22" spans="2:7" ht="14" customHeight="1" x14ac:dyDescent="0.2">
      <c r="B22" s="14" t="s">
        <v>392</v>
      </c>
      <c r="C22" s="59">
        <v>2032</v>
      </c>
      <c r="D22" s="46">
        <f>D21*(1+Inputs!C49)</f>
        <v>22670873.928047866</v>
      </c>
      <c r="E22" s="46">
        <f>E21*(1+Inputs!C50)</f>
        <v>29795966.596140217</v>
      </c>
      <c r="F22" s="46">
        <f>F21*(1+Inputs!C51)</f>
        <v>36483300.296921089</v>
      </c>
      <c r="G22" s="82"/>
    </row>
    <row r="23" spans="2:7" ht="14" customHeight="1" x14ac:dyDescent="0.2">
      <c r="B23" s="15" t="s">
        <v>393</v>
      </c>
      <c r="C23" s="66">
        <v>2033</v>
      </c>
      <c r="D23" s="46">
        <f>D22*(1+Inputs!C49)</f>
        <v>23351000.145889301</v>
      </c>
      <c r="E23" s="46">
        <f>E22*(1+Inputs!C50)</f>
        <v>32120051.990639158</v>
      </c>
      <c r="F23" s="46">
        <f>F22*(1+Inputs!C51)</f>
        <v>40678879.831067011</v>
      </c>
      <c r="G23" s="83"/>
    </row>
    <row r="24" spans="2:7" ht="14" customHeight="1" x14ac:dyDescent="0.2">
      <c r="B24" s="14" t="s">
        <v>394</v>
      </c>
      <c r="C24" s="59">
        <v>2034</v>
      </c>
      <c r="D24" s="46">
        <f>D23*(1+Inputs!C49)</f>
        <v>24051530.150265981</v>
      </c>
      <c r="E24" s="46">
        <f>E23*(1+Inputs!C50)</f>
        <v>34625416.045909017</v>
      </c>
      <c r="F24" s="46">
        <f>F23*(1+Inputs!C51)</f>
        <v>45356951.011639714</v>
      </c>
      <c r="G24" s="82"/>
    </row>
    <row r="25" spans="2:7" ht="14" customHeight="1" x14ac:dyDescent="0.2">
      <c r="B25" s="15" t="s">
        <v>395</v>
      </c>
      <c r="C25" s="66">
        <v>2035</v>
      </c>
      <c r="D25" s="46">
        <f>D24*(1+Inputs!C49)</f>
        <v>24773076.05477396</v>
      </c>
      <c r="E25" s="46">
        <f>E24*(1+Inputs!C50)</f>
        <v>37326198.497489922</v>
      </c>
      <c r="F25" s="46">
        <f>F24*(1+Inputs!C51)</f>
        <v>50573000.37797828</v>
      </c>
      <c r="G25" s="83"/>
    </row>
    <row r="26" spans="2:7" ht="14" customHeight="1" x14ac:dyDescent="0.2">
      <c r="B26" s="16" t="s">
        <v>396</v>
      </c>
      <c r="C26" s="87">
        <v>2036</v>
      </c>
      <c r="D26" s="49">
        <f>D25*(1+Inputs!C49)</f>
        <v>25516268.33641718</v>
      </c>
      <c r="E26" s="85">
        <f>E25*(1+Inputs!C50)</f>
        <v>40237641.980294138</v>
      </c>
      <c r="F26" s="54">
        <f>F25*(1+Inputs!C51)</f>
        <v>56388895.42144578</v>
      </c>
      <c r="G26" s="88" t="s">
        <v>397</v>
      </c>
    </row>
    <row r="27" spans="2:7" ht="14" customHeight="1" x14ac:dyDescent="0.2">
      <c r="B27" s="15" t="s">
        <v>398</v>
      </c>
      <c r="C27" s="66">
        <v>2037</v>
      </c>
      <c r="D27" s="46">
        <f>D26*(1+Inputs!C49)</f>
        <v>26281756.386509694</v>
      </c>
      <c r="E27" s="46">
        <f>E26*(1+Inputs!C50)</f>
        <v>43376178.054757081</v>
      </c>
      <c r="F27" s="46">
        <f>F26*(1+Inputs!C51)</f>
        <v>62873618.394912042</v>
      </c>
      <c r="G27" s="83"/>
    </row>
    <row r="28" spans="2:7" ht="14" customHeight="1" x14ac:dyDescent="0.2">
      <c r="B28" s="14" t="s">
        <v>399</v>
      </c>
      <c r="C28" s="59">
        <v>2038</v>
      </c>
      <c r="D28" s="46">
        <f>D27*(1+Inputs!C49)</f>
        <v>27070209.078104984</v>
      </c>
      <c r="E28" s="46">
        <f>E27*(1+Inputs!C50)</f>
        <v>46759519.943028137</v>
      </c>
      <c r="F28" s="46">
        <f>F27*(1+Inputs!C51)</f>
        <v>70104084.510326922</v>
      </c>
      <c r="G28" s="82"/>
    </row>
    <row r="29" spans="2:7" ht="14" customHeight="1" x14ac:dyDescent="0.2">
      <c r="B29" s="15" t="s">
        <v>400</v>
      </c>
      <c r="C29" s="66">
        <v>2039</v>
      </c>
      <c r="D29" s="46">
        <f>D28*(1+Inputs!C49)</f>
        <v>27882315.350448135</v>
      </c>
      <c r="E29" s="46">
        <f>E28*(1+Inputs!C50)</f>
        <v>50406762.498584338</v>
      </c>
      <c r="F29" s="46">
        <f>F28*(1+Inputs!C51)</f>
        <v>78166054.229014516</v>
      </c>
      <c r="G29" s="83"/>
    </row>
    <row r="30" spans="2:7" ht="14" customHeight="1" x14ac:dyDescent="0.2">
      <c r="B30" s="14" t="s">
        <v>401</v>
      </c>
      <c r="C30" s="59">
        <v>2040</v>
      </c>
      <c r="D30" s="46">
        <f>D29*(1+Inputs!C49)</f>
        <v>28718784.810961582</v>
      </c>
      <c r="E30" s="46">
        <f>E29*(1+Inputs!C50)</f>
        <v>54338489.973473921</v>
      </c>
      <c r="F30" s="46">
        <f>F29*(1+Inputs!C51)</f>
        <v>87155150.465351179</v>
      </c>
      <c r="G30" s="82"/>
    </row>
    <row r="31" spans="2:7" ht="14" customHeight="1" x14ac:dyDescent="0.2">
      <c r="B31" s="10" t="s">
        <v>402</v>
      </c>
      <c r="C31" s="84">
        <v>2041</v>
      </c>
      <c r="D31" s="49">
        <f>D30*(1+Inputs!C49)</f>
        <v>29580348.355290432</v>
      </c>
      <c r="E31" s="85">
        <f>E30*(1+Inputs!C50)</f>
        <v>58576892.191404894</v>
      </c>
      <c r="F31" s="54">
        <f>F30*(1+Inputs!C51)</f>
        <v>97177992.768866569</v>
      </c>
      <c r="G31" s="86" t="s">
        <v>403</v>
      </c>
    </row>
    <row r="32" spans="2:7" ht="14" customHeight="1" x14ac:dyDescent="0.2">
      <c r="B32" s="14" t="s">
        <v>404</v>
      </c>
      <c r="C32" s="59">
        <v>2042</v>
      </c>
      <c r="D32" s="46">
        <f>D31*(1+Inputs!C49)</f>
        <v>30467758.805949144</v>
      </c>
      <c r="E32" s="46">
        <f>E31*(1+Inputs!C50)</f>
        <v>63145889.782334477</v>
      </c>
      <c r="F32" s="46">
        <f>F31*(1+Inputs!C51)</f>
        <v>108353461.93728623</v>
      </c>
      <c r="G32" s="82"/>
    </row>
    <row r="33" spans="2:7" ht="14" customHeight="1" x14ac:dyDescent="0.2">
      <c r="B33" s="15" t="s">
        <v>405</v>
      </c>
      <c r="C33" s="66">
        <v>2043</v>
      </c>
      <c r="D33" s="46">
        <f>D32*(1+Inputs!C49)</f>
        <v>31381791.570127618</v>
      </c>
      <c r="E33" s="46">
        <f>E32*(1+Inputs!C50)</f>
        <v>68071269.185356572</v>
      </c>
      <c r="F33" s="46">
        <f>F32*(1+Inputs!C51)</f>
        <v>120814110.06007415</v>
      </c>
      <c r="G33" s="83"/>
    </row>
    <row r="34" spans="2:7" ht="14" customHeight="1" x14ac:dyDescent="0.2">
      <c r="B34" s="14" t="s">
        <v>406</v>
      </c>
      <c r="C34" s="59">
        <v>2044</v>
      </c>
      <c r="D34" s="46">
        <f>D33*(1+Inputs!C49)</f>
        <v>32323245.317231447</v>
      </c>
      <c r="E34" s="46">
        <f>E33*(1+Inputs!C50)</f>
        <v>73380828.181814387</v>
      </c>
      <c r="F34" s="46">
        <f>F33*(1+Inputs!C51)</f>
        <v>134707732.71698266</v>
      </c>
      <c r="G34" s="82"/>
    </row>
    <row r="35" spans="2:7" ht="14" customHeight="1" x14ac:dyDescent="0.2">
      <c r="B35" s="15" t="s">
        <v>407</v>
      </c>
      <c r="C35" s="66">
        <v>2045</v>
      </c>
      <c r="D35" s="46">
        <f>D34*(1+Inputs!C49)</f>
        <v>33292942.676748391</v>
      </c>
      <c r="E35" s="46">
        <f>E34*(1+Inputs!C50)</f>
        <v>79104532.779995918</v>
      </c>
      <c r="F35" s="46">
        <f>F34*(1+Inputs!C51)</f>
        <v>150199121.97943568</v>
      </c>
      <c r="G35" s="83"/>
    </row>
    <row r="36" spans="2:7" ht="14" customHeight="1" x14ac:dyDescent="0.2">
      <c r="B36" s="16" t="s">
        <v>408</v>
      </c>
      <c r="C36" s="87">
        <v>2046</v>
      </c>
      <c r="D36" s="49">
        <f>D35*(1+Inputs!C49)</f>
        <v>34291730.957050845</v>
      </c>
      <c r="E36" s="85">
        <f>E35*(1+Inputs!C50)</f>
        <v>85274686.336835608</v>
      </c>
      <c r="F36" s="54">
        <f>F35*(1+Inputs!C51)</f>
        <v>167472021.00707078</v>
      </c>
      <c r="G36" s="88" t="s">
        <v>409</v>
      </c>
    </row>
    <row r="37" spans="2:7" ht="20" customHeight="1" x14ac:dyDescent="0.2">
      <c r="B37" s="40" t="s">
        <v>410</v>
      </c>
      <c r="C37" s="89">
        <v>2046</v>
      </c>
      <c r="D37" s="42">
        <f>D36</f>
        <v>34291730.957050845</v>
      </c>
      <c r="E37" s="42">
        <f>E36</f>
        <v>85274686.336835608</v>
      </c>
      <c r="F37" s="42">
        <f>F36</f>
        <v>167472021.00707078</v>
      </c>
      <c r="G37" s="40" t="s">
        <v>411</v>
      </c>
    </row>
    <row r="39" spans="2:7" ht="18" customHeight="1" x14ac:dyDescent="0.2">
      <c r="B39" s="99" t="s">
        <v>412</v>
      </c>
      <c r="C39" s="98"/>
      <c r="D39" s="98"/>
      <c r="E39" s="98"/>
      <c r="F39" s="98"/>
      <c r="G39" s="98"/>
    </row>
    <row r="40" spans="2:7" ht="16" customHeight="1" x14ac:dyDescent="0.2">
      <c r="B40" s="1" t="s">
        <v>384</v>
      </c>
      <c r="C40" s="1" t="s">
        <v>379</v>
      </c>
      <c r="D40" s="1" t="s">
        <v>413</v>
      </c>
      <c r="E40" s="1" t="s">
        <v>414</v>
      </c>
      <c r="F40" s="1" t="s">
        <v>415</v>
      </c>
      <c r="G40" s="1" t="s">
        <v>218</v>
      </c>
    </row>
    <row r="41" spans="2:7" ht="40" customHeight="1" x14ac:dyDescent="0.2">
      <c r="B41" s="90" t="s">
        <v>416</v>
      </c>
      <c r="C41" s="59" t="s">
        <v>417</v>
      </c>
      <c r="D41" s="46">
        <f>Inputs!C23</f>
        <v>5000000</v>
      </c>
      <c r="E41" s="91">
        <v>0</v>
      </c>
      <c r="F41" s="92" t="s">
        <v>418</v>
      </c>
      <c r="G41" s="47" t="s">
        <v>419</v>
      </c>
    </row>
    <row r="42" spans="2:7" ht="39" x14ac:dyDescent="0.2">
      <c r="B42" s="93" t="s">
        <v>420</v>
      </c>
      <c r="C42" s="66" t="s">
        <v>421</v>
      </c>
      <c r="D42" s="46">
        <f>Inputs!C23*(1+(Inputs!C36-Inputs!C37))^5+Inputs!C38*((1+(Inputs!C36-Inputs!C37))^5-1)/(Inputs!C36-Inputs!C37)</f>
        <v>6028978.8702187473</v>
      </c>
      <c r="E42" s="46">
        <f>Inputs!C23*Inputs!C37*5</f>
        <v>1250000</v>
      </c>
      <c r="F42" s="94" t="s">
        <v>422</v>
      </c>
      <c r="G42" s="48" t="s">
        <v>423</v>
      </c>
    </row>
    <row r="43" spans="2:7" ht="26" x14ac:dyDescent="0.2">
      <c r="B43" s="90" t="s">
        <v>424</v>
      </c>
      <c r="C43" s="59" t="s">
        <v>396</v>
      </c>
      <c r="D43" s="46">
        <f>Inputs!C23*(1+(Inputs!C36-Inputs!C37))^10+Inputs!C38*((1+(Inputs!C36-Inputs!C37))^10-1)/(Inputs!C36-Inputs!C37)</f>
        <v>7193174.0148751549</v>
      </c>
      <c r="E43" s="46">
        <f>Inputs!C23*Inputs!C37*10</f>
        <v>2500000</v>
      </c>
      <c r="F43" s="92" t="s">
        <v>422</v>
      </c>
      <c r="G43" s="47" t="s">
        <v>425</v>
      </c>
    </row>
    <row r="44" spans="2:7" ht="26" x14ac:dyDescent="0.2">
      <c r="B44" s="95" t="s">
        <v>426</v>
      </c>
      <c r="C44" s="66" t="s">
        <v>396</v>
      </c>
      <c r="D44" s="54">
        <f>Inputs!C23*(1+(Inputs!C36-Inputs!C37))^10+Inputs!C38*((1+(Inputs!C36-Inputs!C37))^10-1)/(Inputs!C36-Inputs!C37)</f>
        <v>7193174.0148751549</v>
      </c>
      <c r="E44" s="54">
        <f>Inputs!C23*Inputs!C37*10</f>
        <v>2500000</v>
      </c>
      <c r="F44" s="22" t="s">
        <v>427</v>
      </c>
      <c r="G44" s="48" t="s">
        <v>428</v>
      </c>
    </row>
    <row r="45" spans="2:7" ht="39" x14ac:dyDescent="0.2">
      <c r="B45" s="96" t="s">
        <v>429</v>
      </c>
      <c r="C45" s="59" t="s">
        <v>408</v>
      </c>
      <c r="D45" s="54">
        <f>Inputs!C23*(1+(Inputs!C36-Inputs!C37))^20+Inputs!C38*((1+(Inputs!C36-Inputs!C37))^20-1)/(Inputs!C36-Inputs!C37)</f>
        <v>10000622.174049914</v>
      </c>
      <c r="E45" s="54">
        <f>Inputs!C23*Inputs!C37*20</f>
        <v>5000000</v>
      </c>
      <c r="F45" s="19" t="s">
        <v>430</v>
      </c>
      <c r="G45" s="47" t="s">
        <v>431</v>
      </c>
    </row>
    <row r="46" spans="2:7" ht="8" customHeight="1" x14ac:dyDescent="0.2"/>
    <row r="47" spans="2:7" ht="26" customHeight="1" x14ac:dyDescent="0.2">
      <c r="B47" s="100" t="s">
        <v>438</v>
      </c>
      <c r="C47" s="98"/>
      <c r="D47" s="98"/>
      <c r="E47" s="98"/>
      <c r="F47" s="98"/>
      <c r="G47" s="98"/>
    </row>
  </sheetData>
  <mergeCells count="15">
    <mergeCell ref="A1:H1"/>
    <mergeCell ref="B15:G15"/>
    <mergeCell ref="F9:G9"/>
    <mergeCell ref="F7:G7"/>
    <mergeCell ref="F8:G8"/>
    <mergeCell ref="A2:H2"/>
    <mergeCell ref="F5:G5"/>
    <mergeCell ref="B4:G4"/>
    <mergeCell ref="F6:G6"/>
    <mergeCell ref="F13:G13"/>
    <mergeCell ref="B47:G47"/>
    <mergeCell ref="F11:G11"/>
    <mergeCell ref="F12:G12"/>
    <mergeCell ref="B39:G39"/>
    <mergeCell ref="F10:G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Inputs</vt:lpstr>
      <vt:lpstr>Overview</vt:lpstr>
      <vt:lpstr>Portfolio Transition</vt:lpstr>
      <vt:lpstr>Tax Analysis</vt:lpstr>
      <vt:lpstr>SBL Credit</vt:lpstr>
      <vt:lpstr>Goals Planning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Mario Mercado</cp:lastModifiedBy>
  <dcterms:created xsi:type="dcterms:W3CDTF">2026-02-19T17:04:37Z</dcterms:created>
  <dcterms:modified xsi:type="dcterms:W3CDTF">2026-02-19T17:27:49Z</dcterms:modified>
</cp:coreProperties>
</file>